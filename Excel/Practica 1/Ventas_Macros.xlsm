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slicers/slicer2.xml" ContentType="application/vnd.ms-excel.slicer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Curso Power BI y Excel\Excel\Practica 1\"/>
    </mc:Choice>
  </mc:AlternateContent>
  <bookViews>
    <workbookView xWindow="-120" yWindow="-120" windowWidth="27600" windowHeight="14925" activeTab="2"/>
  </bookViews>
  <sheets>
    <sheet name="ventas" sheetId="1" r:id="rId1"/>
    <sheet name="td ventas" sheetId="2" r:id="rId2"/>
    <sheet name="informes ventas" sheetId="4" r:id="rId3"/>
  </sheets>
  <definedNames>
    <definedName name="SegmentaciónDeDatos_Producto">#N/A</definedName>
    <definedName name="SegmentaciónDeDatos_Producto1">#N/A</definedName>
    <definedName name="SegmentaciónDeDatos_Region">#N/A</definedName>
    <definedName name="SegmentaciónDeDatos_Region1">#N/A</definedName>
    <definedName name="SegmentaciónDeDatos_Vendedor">#N/A</definedName>
    <definedName name="SegmentaciónDeDatos_Vendedor1">#N/A</definedName>
    <definedName name="SegmentaciónDeDatos_Vendedor2">#N/A</definedName>
  </definedNames>
  <calcPr calcId="152511"/>
  <pivotCaches>
    <pivotCache cacheId="63" r:id="rId4"/>
    <pivotCache cacheId="68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0"/>
        <x14:slicerCache r:id="rId11"/>
        <x14:slicerCache r:id="rId12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1" l="1"/>
</calcChain>
</file>

<file path=xl/sharedStrings.xml><?xml version="1.0" encoding="utf-8"?>
<sst xmlns="http://schemas.openxmlformats.org/spreadsheetml/2006/main" count="139" uniqueCount="26">
  <si>
    <t>Region</t>
  </si>
  <si>
    <t>Producto</t>
  </si>
  <si>
    <t>Vendedor</t>
  </si>
  <si>
    <t>Ventas</t>
  </si>
  <si>
    <t>Central</t>
  </si>
  <si>
    <t>Accesorios</t>
  </si>
  <si>
    <t>David</t>
  </si>
  <si>
    <t>Karen</t>
  </si>
  <si>
    <t>Dispositivos</t>
  </si>
  <si>
    <t>Sistemas</t>
  </si>
  <si>
    <t>Este</t>
  </si>
  <si>
    <t>Ana</t>
  </si>
  <si>
    <t>Lucas</t>
  </si>
  <si>
    <t>Oeste</t>
  </si>
  <si>
    <t>Kevin</t>
  </si>
  <si>
    <t>Sara</t>
  </si>
  <si>
    <t>Suma de Ventas</t>
  </si>
  <si>
    <t>Total general</t>
  </si>
  <si>
    <t>Etiquetas de columna</t>
  </si>
  <si>
    <t xml:space="preserve"> Ventas</t>
  </si>
  <si>
    <t>Región</t>
  </si>
  <si>
    <t xml:space="preserve"> Total General</t>
  </si>
  <si>
    <t>Máx. de Ventas</t>
  </si>
  <si>
    <t>INFORME DE VENTAS</t>
  </si>
  <si>
    <t>Total</t>
  </si>
  <si>
    <t>Juan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</si>
</sst>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&quot;$&quot;\ #,##0"/>
  </numFmts>
  <fonts count="3" x14ac:knownFonts="1">
    <font>
      <sz val="11"/>
      <color theme="1"/>
      <name val="Arial"/>
      <family val="2"/>
      <scheme val="minor"/>
    </font>
    <font>
      <sz val="11"/>
      <name val="Arial"/>
      <family val="2"/>
      <scheme val="minor"/>
    </font>
    <font>
      <sz val="16"/>
      <color theme="1"/>
      <name val="Arial Black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44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41" fontId="0" fillId="0" borderId="0" xfId="0" applyNumberFormat="1"/>
    <xf numFmtId="0" fontId="0" fillId="0" borderId="0" xfId="0" applyAlignment="1">
      <alignment horizontal="left" indent="2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pivotButton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0" fillId="0" borderId="2" xfId="0" applyBorder="1"/>
    <xf numFmtId="0" fontId="0" fillId="0" borderId="3" xfId="0" applyBorder="1"/>
    <xf numFmtId="44" fontId="0" fillId="0" borderId="4" xfId="0" applyNumberFormat="1" applyBorder="1"/>
    <xf numFmtId="0" fontId="0" fillId="0" borderId="5" xfId="0" applyBorder="1"/>
    <xf numFmtId="0" fontId="0" fillId="0" borderId="1" xfId="0" applyBorder="1"/>
    <xf numFmtId="164" fontId="0" fillId="0" borderId="6" xfId="0" applyNumberFormat="1" applyBorder="1"/>
    <xf numFmtId="0" fontId="0" fillId="0" borderId="7" xfId="0" applyBorder="1"/>
    <xf numFmtId="0" fontId="0" fillId="0" borderId="8" xfId="0" applyBorder="1"/>
    <xf numFmtId="164" fontId="0" fillId="0" borderId="9" xfId="0" applyNumberFormat="1" applyBorder="1"/>
  </cellXfs>
  <cellStyles count="1">
    <cellStyle name="Normal" xfId="0" builtinId="0"/>
  </cellStyles>
  <dxfs count="72">
    <dxf>
      <numFmt numFmtId="164" formatCode="_-&quot;$&quot;\ * #,##0_-;\-&quot;$&quot;\ * #,##0_-;_-&quot;$&quot;\ * &quot;-&quot;??_-;_-@_-"/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4" formatCode="_-&quot;$&quot;\ * #,##0_-;\-&quot;$&quot;\ * #,##0_-;_-&quot;$&quot;\ * &quot;-&quot;??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microsoft.com/office/2007/relationships/slicerCache" Target="slicerCaches/slicerCache7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microsoft.com/office/2007/relationships/slicerCache" Target="slicerCaches/slicerCache6.xml"/><Relationship Id="rId5" Type="http://schemas.openxmlformats.org/officeDocument/2006/relationships/pivotCacheDefinition" Target="pivotCache/pivotCacheDefinition2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5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4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[Ventas_Macros.xlsm]td ventas!Tabla dinámica1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 ventas'!$B$1:$B$2</c:f>
              <c:strCache>
                <c:ptCount val="1"/>
                <c:pt idx="0">
                  <c:v>Ana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'td ventas'!$A$3:$A$15</c:f>
              <c:multiLvlStrCache>
                <c:ptCount val="9"/>
                <c:lvl>
                  <c:pt idx="0">
                    <c:v>Accesorios</c:v>
                  </c:pt>
                  <c:pt idx="1">
                    <c:v>Dispositivos</c:v>
                  </c:pt>
                  <c:pt idx="2">
                    <c:v>Sistemas</c:v>
                  </c:pt>
                  <c:pt idx="3">
                    <c:v>Accesorios</c:v>
                  </c:pt>
                  <c:pt idx="4">
                    <c:v>Dispositivos</c:v>
                  </c:pt>
                  <c:pt idx="5">
                    <c:v>Sistemas</c:v>
                  </c:pt>
                  <c:pt idx="6">
                    <c:v>Accesorios</c:v>
                  </c:pt>
                  <c:pt idx="7">
                    <c:v>Dispositivos</c:v>
                  </c:pt>
                  <c:pt idx="8">
                    <c:v>Sistemas</c:v>
                  </c:pt>
                </c:lvl>
                <c:lvl>
                  <c:pt idx="0">
                    <c:v>Central</c:v>
                  </c:pt>
                  <c:pt idx="3">
                    <c:v>Este</c:v>
                  </c:pt>
                  <c:pt idx="6">
                    <c:v>Oeste</c:v>
                  </c:pt>
                </c:lvl>
              </c:multiLvlStrCache>
            </c:multiLvlStrRef>
          </c:cat>
          <c:val>
            <c:numRef>
              <c:f>'td ventas'!$B$3:$B$15</c:f>
              <c:numCache>
                <c:formatCode>_(* #,##0_);_(* \(#,##0\);_(* "-"_);_(@_)</c:formatCode>
                <c:ptCount val="9"/>
                <c:pt idx="3">
                  <c:v>9323</c:v>
                </c:pt>
                <c:pt idx="4">
                  <c:v>10348</c:v>
                </c:pt>
                <c:pt idx="5">
                  <c:v>13531</c:v>
                </c:pt>
              </c:numCache>
            </c:numRef>
          </c:val>
        </c:ser>
        <c:ser>
          <c:idx val="1"/>
          <c:order val="1"/>
          <c:tx>
            <c:strRef>
              <c:f>'td ventas'!$C$1:$C$2</c:f>
              <c:strCache>
                <c:ptCount val="1"/>
                <c:pt idx="0">
                  <c:v>David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'td ventas'!$A$3:$A$15</c:f>
              <c:multiLvlStrCache>
                <c:ptCount val="9"/>
                <c:lvl>
                  <c:pt idx="0">
                    <c:v>Accesorios</c:v>
                  </c:pt>
                  <c:pt idx="1">
                    <c:v>Dispositivos</c:v>
                  </c:pt>
                  <c:pt idx="2">
                    <c:v>Sistemas</c:v>
                  </c:pt>
                  <c:pt idx="3">
                    <c:v>Accesorios</c:v>
                  </c:pt>
                  <c:pt idx="4">
                    <c:v>Dispositivos</c:v>
                  </c:pt>
                  <c:pt idx="5">
                    <c:v>Sistemas</c:v>
                  </c:pt>
                  <c:pt idx="6">
                    <c:v>Accesorios</c:v>
                  </c:pt>
                  <c:pt idx="7">
                    <c:v>Dispositivos</c:v>
                  </c:pt>
                  <c:pt idx="8">
                    <c:v>Sistemas</c:v>
                  </c:pt>
                </c:lvl>
                <c:lvl>
                  <c:pt idx="0">
                    <c:v>Central</c:v>
                  </c:pt>
                  <c:pt idx="3">
                    <c:v>Este</c:v>
                  </c:pt>
                  <c:pt idx="6">
                    <c:v>Oeste</c:v>
                  </c:pt>
                </c:lvl>
              </c:multiLvlStrCache>
            </c:multiLvlStrRef>
          </c:cat>
          <c:val>
            <c:numRef>
              <c:f>'td ventas'!$C$3:$C$15</c:f>
              <c:numCache>
                <c:formatCode>_(* #,##0_);_(* \(#,##0\);_(* "-"_);_(@_)</c:formatCode>
                <c:ptCount val="9"/>
                <c:pt idx="0">
                  <c:v>8287</c:v>
                </c:pt>
                <c:pt idx="1">
                  <c:v>11420</c:v>
                </c:pt>
              </c:numCache>
            </c:numRef>
          </c:val>
        </c:ser>
        <c:ser>
          <c:idx val="2"/>
          <c:order val="2"/>
          <c:tx>
            <c:strRef>
              <c:f>'td ventas'!$D$1:$D$2</c:f>
              <c:strCache>
                <c:ptCount val="1"/>
                <c:pt idx="0">
                  <c:v>Karen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'td ventas'!$A$3:$A$15</c:f>
              <c:multiLvlStrCache>
                <c:ptCount val="9"/>
                <c:lvl>
                  <c:pt idx="0">
                    <c:v>Accesorios</c:v>
                  </c:pt>
                  <c:pt idx="1">
                    <c:v>Dispositivos</c:v>
                  </c:pt>
                  <c:pt idx="2">
                    <c:v>Sistemas</c:v>
                  </c:pt>
                  <c:pt idx="3">
                    <c:v>Accesorios</c:v>
                  </c:pt>
                  <c:pt idx="4">
                    <c:v>Dispositivos</c:v>
                  </c:pt>
                  <c:pt idx="5">
                    <c:v>Sistemas</c:v>
                  </c:pt>
                  <c:pt idx="6">
                    <c:v>Accesorios</c:v>
                  </c:pt>
                  <c:pt idx="7">
                    <c:v>Dispositivos</c:v>
                  </c:pt>
                  <c:pt idx="8">
                    <c:v>Sistemas</c:v>
                  </c:pt>
                </c:lvl>
                <c:lvl>
                  <c:pt idx="0">
                    <c:v>Central</c:v>
                  </c:pt>
                  <c:pt idx="3">
                    <c:v>Este</c:v>
                  </c:pt>
                  <c:pt idx="6">
                    <c:v>Oeste</c:v>
                  </c:pt>
                </c:lvl>
              </c:multiLvlStrCache>
            </c:multiLvlStrRef>
          </c:cat>
          <c:val>
            <c:numRef>
              <c:f>'td ventas'!$D$3:$D$15</c:f>
              <c:numCache>
                <c:formatCode>_(* #,##0_);_(* \(#,##0\);_(* "-"_);_(@_)</c:formatCode>
                <c:ptCount val="9"/>
                <c:pt idx="0">
                  <c:v>6909</c:v>
                </c:pt>
                <c:pt idx="1">
                  <c:v>12948</c:v>
                </c:pt>
                <c:pt idx="2">
                  <c:v>130633</c:v>
                </c:pt>
              </c:numCache>
            </c:numRef>
          </c:val>
        </c:ser>
        <c:ser>
          <c:idx val="3"/>
          <c:order val="3"/>
          <c:tx>
            <c:strRef>
              <c:f>'td ventas'!$E$1:$E$2</c:f>
              <c:strCache>
                <c:ptCount val="1"/>
                <c:pt idx="0">
                  <c:v>Kevin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'td ventas'!$A$3:$A$15</c:f>
              <c:multiLvlStrCache>
                <c:ptCount val="9"/>
                <c:lvl>
                  <c:pt idx="0">
                    <c:v>Accesorios</c:v>
                  </c:pt>
                  <c:pt idx="1">
                    <c:v>Dispositivos</c:v>
                  </c:pt>
                  <c:pt idx="2">
                    <c:v>Sistemas</c:v>
                  </c:pt>
                  <c:pt idx="3">
                    <c:v>Accesorios</c:v>
                  </c:pt>
                  <c:pt idx="4">
                    <c:v>Dispositivos</c:v>
                  </c:pt>
                  <c:pt idx="5">
                    <c:v>Sistemas</c:v>
                  </c:pt>
                  <c:pt idx="6">
                    <c:v>Accesorios</c:v>
                  </c:pt>
                  <c:pt idx="7">
                    <c:v>Dispositivos</c:v>
                  </c:pt>
                  <c:pt idx="8">
                    <c:v>Sistemas</c:v>
                  </c:pt>
                </c:lvl>
                <c:lvl>
                  <c:pt idx="0">
                    <c:v>Central</c:v>
                  </c:pt>
                  <c:pt idx="3">
                    <c:v>Este</c:v>
                  </c:pt>
                  <c:pt idx="6">
                    <c:v>Oeste</c:v>
                  </c:pt>
                </c:lvl>
              </c:multiLvlStrCache>
            </c:multiLvlStrRef>
          </c:cat>
          <c:val>
            <c:numRef>
              <c:f>'td ventas'!$E$3:$E$15</c:f>
              <c:numCache>
                <c:formatCode>_(* #,##0_);_(* \(#,##0\);_(* "-"_);_(@_)</c:formatCode>
                <c:ptCount val="9"/>
                <c:pt idx="6">
                  <c:v>4744</c:v>
                </c:pt>
                <c:pt idx="7">
                  <c:v>10711</c:v>
                </c:pt>
                <c:pt idx="8">
                  <c:v>132855</c:v>
                </c:pt>
              </c:numCache>
            </c:numRef>
          </c:val>
        </c:ser>
        <c:ser>
          <c:idx val="4"/>
          <c:order val="4"/>
          <c:tx>
            <c:strRef>
              <c:f>'td ventas'!$F$1:$F$2</c:f>
              <c:strCache>
                <c:ptCount val="1"/>
                <c:pt idx="0">
                  <c:v>Lucas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'td ventas'!$A$3:$A$15</c:f>
              <c:multiLvlStrCache>
                <c:ptCount val="9"/>
                <c:lvl>
                  <c:pt idx="0">
                    <c:v>Accesorios</c:v>
                  </c:pt>
                  <c:pt idx="1">
                    <c:v>Dispositivos</c:v>
                  </c:pt>
                  <c:pt idx="2">
                    <c:v>Sistemas</c:v>
                  </c:pt>
                  <c:pt idx="3">
                    <c:v>Accesorios</c:v>
                  </c:pt>
                  <c:pt idx="4">
                    <c:v>Dispositivos</c:v>
                  </c:pt>
                  <c:pt idx="5">
                    <c:v>Sistemas</c:v>
                  </c:pt>
                  <c:pt idx="6">
                    <c:v>Accesorios</c:v>
                  </c:pt>
                  <c:pt idx="7">
                    <c:v>Dispositivos</c:v>
                  </c:pt>
                  <c:pt idx="8">
                    <c:v>Sistemas</c:v>
                  </c:pt>
                </c:lvl>
                <c:lvl>
                  <c:pt idx="0">
                    <c:v>Central</c:v>
                  </c:pt>
                  <c:pt idx="3">
                    <c:v>Este</c:v>
                  </c:pt>
                  <c:pt idx="6">
                    <c:v>Oeste</c:v>
                  </c:pt>
                </c:lvl>
              </c:multiLvlStrCache>
            </c:multiLvlStrRef>
          </c:cat>
          <c:val>
            <c:numRef>
              <c:f>'td ventas'!$F$3:$F$15</c:f>
              <c:numCache>
                <c:formatCode>_(* #,##0_);_(* \(#,##0\);_(* "-"_);_(@_)</c:formatCode>
                <c:ptCount val="9"/>
                <c:pt idx="3">
                  <c:v>7667</c:v>
                </c:pt>
                <c:pt idx="4">
                  <c:v>9312</c:v>
                </c:pt>
                <c:pt idx="5">
                  <c:v>13374</c:v>
                </c:pt>
              </c:numCache>
            </c:numRef>
          </c:val>
        </c:ser>
        <c:ser>
          <c:idx val="5"/>
          <c:order val="5"/>
          <c:tx>
            <c:strRef>
              <c:f>'td ventas'!$G$1:$G$2</c:f>
              <c:strCache>
                <c:ptCount val="1"/>
                <c:pt idx="0">
                  <c:v>Sara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'td ventas'!$A$3:$A$15</c:f>
              <c:multiLvlStrCache>
                <c:ptCount val="9"/>
                <c:lvl>
                  <c:pt idx="0">
                    <c:v>Accesorios</c:v>
                  </c:pt>
                  <c:pt idx="1">
                    <c:v>Dispositivos</c:v>
                  </c:pt>
                  <c:pt idx="2">
                    <c:v>Sistemas</c:v>
                  </c:pt>
                  <c:pt idx="3">
                    <c:v>Accesorios</c:v>
                  </c:pt>
                  <c:pt idx="4">
                    <c:v>Dispositivos</c:v>
                  </c:pt>
                  <c:pt idx="5">
                    <c:v>Sistemas</c:v>
                  </c:pt>
                  <c:pt idx="6">
                    <c:v>Accesorios</c:v>
                  </c:pt>
                  <c:pt idx="7">
                    <c:v>Dispositivos</c:v>
                  </c:pt>
                  <c:pt idx="8">
                    <c:v>Sistemas</c:v>
                  </c:pt>
                </c:lvl>
                <c:lvl>
                  <c:pt idx="0">
                    <c:v>Central</c:v>
                  </c:pt>
                  <c:pt idx="3">
                    <c:v>Este</c:v>
                  </c:pt>
                  <c:pt idx="6">
                    <c:v>Oeste</c:v>
                  </c:pt>
                </c:lvl>
              </c:multiLvlStrCache>
            </c:multiLvlStrRef>
          </c:cat>
          <c:val>
            <c:numRef>
              <c:f>'td ventas'!$G$3:$G$15</c:f>
              <c:numCache>
                <c:formatCode>_(* #,##0_);_(* \(#,##0\);_(* "-"_);_(@_)</c:formatCode>
                <c:ptCount val="9"/>
                <c:pt idx="6">
                  <c:v>5442</c:v>
                </c:pt>
                <c:pt idx="7">
                  <c:v>8780</c:v>
                </c:pt>
                <c:pt idx="8">
                  <c:v>23151</c:v>
                </c:pt>
              </c:numCache>
            </c:numRef>
          </c:val>
        </c:ser>
        <c:ser>
          <c:idx val="6"/>
          <c:order val="6"/>
          <c:tx>
            <c:strRef>
              <c:f>'td ventas'!$H$1:$H$2</c:f>
              <c:strCache>
                <c:ptCount val="1"/>
                <c:pt idx="0">
                  <c:v>Juan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'td ventas'!$A$3:$A$15</c:f>
              <c:multiLvlStrCache>
                <c:ptCount val="9"/>
                <c:lvl>
                  <c:pt idx="0">
                    <c:v>Accesorios</c:v>
                  </c:pt>
                  <c:pt idx="1">
                    <c:v>Dispositivos</c:v>
                  </c:pt>
                  <c:pt idx="2">
                    <c:v>Sistemas</c:v>
                  </c:pt>
                  <c:pt idx="3">
                    <c:v>Accesorios</c:v>
                  </c:pt>
                  <c:pt idx="4">
                    <c:v>Dispositivos</c:v>
                  </c:pt>
                  <c:pt idx="5">
                    <c:v>Sistemas</c:v>
                  </c:pt>
                  <c:pt idx="6">
                    <c:v>Accesorios</c:v>
                  </c:pt>
                  <c:pt idx="7">
                    <c:v>Dispositivos</c:v>
                  </c:pt>
                  <c:pt idx="8">
                    <c:v>Sistemas</c:v>
                  </c:pt>
                </c:lvl>
                <c:lvl>
                  <c:pt idx="0">
                    <c:v>Central</c:v>
                  </c:pt>
                  <c:pt idx="3">
                    <c:v>Este</c:v>
                  </c:pt>
                  <c:pt idx="6">
                    <c:v>Oeste</c:v>
                  </c:pt>
                </c:lvl>
              </c:multiLvlStrCache>
            </c:multiLvlStrRef>
          </c:cat>
          <c:val>
            <c:numRef>
              <c:f>'td ventas'!$H$3:$H$15</c:f>
              <c:numCache>
                <c:formatCode>_(* #,##0_);_(* \(#,##0\);_(* "-"_);_(@_)</c:formatCode>
                <c:ptCount val="9"/>
                <c:pt idx="2">
                  <c:v>20098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8446432"/>
        <c:axId val="178480000"/>
      </c:barChart>
      <c:catAx>
        <c:axId val="17844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8480000"/>
        <c:crosses val="autoZero"/>
        <c:auto val="1"/>
        <c:lblAlgn val="ctr"/>
        <c:lblOffset val="100"/>
        <c:noMultiLvlLbl val="0"/>
      </c:catAx>
      <c:valAx>
        <c:axId val="1784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844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[Ventas_Macros.xlsm]td ventas!Tabla dinámica2</c:name>
    <c:fmtId val="1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 ventas'!$J$1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'td ventas'!$I$2:$I$32</c:f>
              <c:multiLvlStrCache>
                <c:ptCount val="18"/>
                <c:lvl>
                  <c:pt idx="0">
                    <c:v>David</c:v>
                  </c:pt>
                  <c:pt idx="1">
                    <c:v>Karen</c:v>
                  </c:pt>
                  <c:pt idx="2">
                    <c:v>David</c:v>
                  </c:pt>
                  <c:pt idx="3">
                    <c:v>Karen</c:v>
                  </c:pt>
                  <c:pt idx="4">
                    <c:v>Karen</c:v>
                  </c:pt>
                  <c:pt idx="5">
                    <c:v>Juan</c:v>
                  </c:pt>
                  <c:pt idx="6">
                    <c:v>Ana</c:v>
                  </c:pt>
                  <c:pt idx="7">
                    <c:v>Lucas</c:v>
                  </c:pt>
                  <c:pt idx="8">
                    <c:v>Ana</c:v>
                  </c:pt>
                  <c:pt idx="9">
                    <c:v>Lucas</c:v>
                  </c:pt>
                  <c:pt idx="10">
                    <c:v>Ana</c:v>
                  </c:pt>
                  <c:pt idx="11">
                    <c:v>Lucas</c:v>
                  </c:pt>
                  <c:pt idx="12">
                    <c:v>Kevin</c:v>
                  </c:pt>
                  <c:pt idx="13">
                    <c:v>Sara</c:v>
                  </c:pt>
                  <c:pt idx="14">
                    <c:v>Kevin</c:v>
                  </c:pt>
                  <c:pt idx="15">
                    <c:v>Sara</c:v>
                  </c:pt>
                  <c:pt idx="16">
                    <c:v>Kevin</c:v>
                  </c:pt>
                  <c:pt idx="17">
                    <c:v>Sara</c:v>
                  </c:pt>
                </c:lvl>
                <c:lvl>
                  <c:pt idx="0">
                    <c:v>Accesorios</c:v>
                  </c:pt>
                  <c:pt idx="2">
                    <c:v>Dispositivos</c:v>
                  </c:pt>
                  <c:pt idx="4">
                    <c:v>Sistemas</c:v>
                  </c:pt>
                  <c:pt idx="6">
                    <c:v>Accesorios</c:v>
                  </c:pt>
                  <c:pt idx="8">
                    <c:v>Dispositivos</c:v>
                  </c:pt>
                  <c:pt idx="10">
                    <c:v>Sistemas</c:v>
                  </c:pt>
                  <c:pt idx="12">
                    <c:v>Accesorios</c:v>
                  </c:pt>
                  <c:pt idx="14">
                    <c:v>Dispositivos</c:v>
                  </c:pt>
                  <c:pt idx="16">
                    <c:v>Sistemas</c:v>
                  </c:pt>
                </c:lvl>
                <c:lvl>
                  <c:pt idx="0">
                    <c:v>Central</c:v>
                  </c:pt>
                  <c:pt idx="6">
                    <c:v>Este</c:v>
                  </c:pt>
                  <c:pt idx="12">
                    <c:v>Oeste</c:v>
                  </c:pt>
                </c:lvl>
              </c:multiLvlStrCache>
            </c:multiLvlStrRef>
          </c:cat>
          <c:val>
            <c:numRef>
              <c:f>'td ventas'!$J$2:$J$32</c:f>
              <c:numCache>
                <c:formatCode>_(* #,##0_);_(* \(#,##0\);_(* "-"_);_(@_)</c:formatCode>
                <c:ptCount val="18"/>
                <c:pt idx="0">
                  <c:v>8287</c:v>
                </c:pt>
                <c:pt idx="1">
                  <c:v>6909</c:v>
                </c:pt>
                <c:pt idx="2">
                  <c:v>11420</c:v>
                </c:pt>
                <c:pt idx="3">
                  <c:v>12948</c:v>
                </c:pt>
                <c:pt idx="4">
                  <c:v>130633</c:v>
                </c:pt>
                <c:pt idx="5">
                  <c:v>20098</c:v>
                </c:pt>
                <c:pt idx="6">
                  <c:v>9323</c:v>
                </c:pt>
                <c:pt idx="7">
                  <c:v>7667</c:v>
                </c:pt>
                <c:pt idx="8">
                  <c:v>10348</c:v>
                </c:pt>
                <c:pt idx="9">
                  <c:v>9312</c:v>
                </c:pt>
                <c:pt idx="10">
                  <c:v>13531</c:v>
                </c:pt>
                <c:pt idx="11">
                  <c:v>13374</c:v>
                </c:pt>
                <c:pt idx="12">
                  <c:v>4744</c:v>
                </c:pt>
                <c:pt idx="13">
                  <c:v>5442</c:v>
                </c:pt>
                <c:pt idx="14">
                  <c:v>10711</c:v>
                </c:pt>
                <c:pt idx="15">
                  <c:v>8780</c:v>
                </c:pt>
                <c:pt idx="16">
                  <c:v>132855</c:v>
                </c:pt>
                <c:pt idx="17">
                  <c:v>23151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034448"/>
        <c:axId val="179034832"/>
      </c:barChart>
      <c:catAx>
        <c:axId val="17903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9034832"/>
        <c:crosses val="autoZero"/>
        <c:auto val="1"/>
        <c:lblAlgn val="ctr"/>
        <c:lblOffset val="100"/>
        <c:noMultiLvlLbl val="0"/>
      </c:catAx>
      <c:valAx>
        <c:axId val="17903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9034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[Ventas_Macros.xlsm]informes ventas!Td_venta_region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/>
              <a:t>Ventas por Región</a:t>
            </a:r>
          </a:p>
        </c:rich>
      </c:tx>
      <c:layout>
        <c:manualLayout>
          <c:xMode val="edge"/>
          <c:yMode val="edge"/>
          <c:x val="0.16965134133722029"/>
          <c:y val="5.27859481312250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26539491192246256"/>
          <c:y val="0.26573253272268915"/>
          <c:w val="0.45872696151044667"/>
          <c:h val="0.70066616132419135"/>
        </c:manualLayout>
      </c:layout>
      <c:pieChart>
        <c:varyColors val="1"/>
        <c:ser>
          <c:idx val="0"/>
          <c:order val="0"/>
          <c:tx>
            <c:strRef>
              <c:f>'informes ventas'!$M$10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'informes ventas'!$L$11:$L$13</c:f>
              <c:strCache>
                <c:ptCount val="3"/>
                <c:pt idx="0">
                  <c:v>Central</c:v>
                </c:pt>
                <c:pt idx="1">
                  <c:v>Este</c:v>
                </c:pt>
                <c:pt idx="2">
                  <c:v>Oeste</c:v>
                </c:pt>
              </c:strCache>
            </c:strRef>
          </c:cat>
          <c:val>
            <c:numRef>
              <c:f>'informes ventas'!$M$11:$M$13</c:f>
              <c:numCache>
                <c:formatCode>"$"\ #,##0</c:formatCode>
                <c:ptCount val="3"/>
                <c:pt idx="0">
                  <c:v>190295</c:v>
                </c:pt>
                <c:pt idx="1">
                  <c:v>63555</c:v>
                </c:pt>
                <c:pt idx="2">
                  <c:v>185683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[Ventas_Macros.xlsm]informes ventas!Td_venta_producto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/>
              <a:t>Ventas</a:t>
            </a:r>
            <a:r>
              <a:rPr lang="en-US" sz="1800" baseline="0"/>
              <a:t> por producto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'informes ventas'!$M$15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'informes ventas'!$L$16:$L$18</c:f>
              <c:strCache>
                <c:ptCount val="3"/>
                <c:pt idx="0">
                  <c:v>Accesorios</c:v>
                </c:pt>
                <c:pt idx="1">
                  <c:v>Dispositivos</c:v>
                </c:pt>
                <c:pt idx="2">
                  <c:v>Sistemas</c:v>
                </c:pt>
              </c:strCache>
            </c:strRef>
          </c:cat>
          <c:val>
            <c:numRef>
              <c:f>'informes ventas'!$M$16:$M$18</c:f>
              <c:numCache>
                <c:formatCode>"$"\ #,##0</c:formatCode>
                <c:ptCount val="3"/>
                <c:pt idx="0">
                  <c:v>42372</c:v>
                </c:pt>
                <c:pt idx="1">
                  <c:v>63519</c:v>
                </c:pt>
                <c:pt idx="2">
                  <c:v>333642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69970680"/>
        <c:axId val="179003248"/>
      </c:barChart>
      <c:catAx>
        <c:axId val="369970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9003248"/>
        <c:crosses val="autoZero"/>
        <c:auto val="1"/>
        <c:lblAlgn val="ctr"/>
        <c:lblOffset val="100"/>
        <c:noMultiLvlLbl val="0"/>
      </c:catAx>
      <c:valAx>
        <c:axId val="17900324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\ #,##0" sourceLinked="1"/>
        <c:majorTickMark val="none"/>
        <c:minorTickMark val="none"/>
        <c:tickLblPos val="nextTo"/>
        <c:crossAx val="36997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[Ventas_Macros.xlsm]informes ventas!Td_venta_vendedor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1" i="0" u="sng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u="sng"/>
              <a:t>Ventas por</a:t>
            </a:r>
            <a:r>
              <a:rPr lang="en-US" sz="1800" u="sng" baseline="0"/>
              <a:t> vendedor</a:t>
            </a:r>
          </a:p>
        </c:rich>
      </c:tx>
      <c:layout>
        <c:manualLayout>
          <c:xMode val="edge"/>
          <c:yMode val="edge"/>
          <c:x val="0.2579816114806559"/>
          <c:y val="0.10367276207581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sng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'informes ventas'!$M$20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'informes ventas'!$L$21:$L$27</c:f>
              <c:strCache>
                <c:ptCount val="7"/>
                <c:pt idx="0">
                  <c:v>David</c:v>
                </c:pt>
                <c:pt idx="1">
                  <c:v>Juan</c:v>
                </c:pt>
                <c:pt idx="2">
                  <c:v>Lucas</c:v>
                </c:pt>
                <c:pt idx="3">
                  <c:v>Ana</c:v>
                </c:pt>
                <c:pt idx="4">
                  <c:v>Sara</c:v>
                </c:pt>
                <c:pt idx="5">
                  <c:v>Kevin</c:v>
                </c:pt>
                <c:pt idx="6">
                  <c:v>Karen</c:v>
                </c:pt>
              </c:strCache>
            </c:strRef>
          </c:cat>
          <c:val>
            <c:numRef>
              <c:f>'informes ventas'!$M$21:$M$27</c:f>
              <c:numCache>
                <c:formatCode>"$"\ #,##0</c:formatCode>
                <c:ptCount val="7"/>
                <c:pt idx="0">
                  <c:v>19707</c:v>
                </c:pt>
                <c:pt idx="1">
                  <c:v>20098</c:v>
                </c:pt>
                <c:pt idx="2">
                  <c:v>30353</c:v>
                </c:pt>
                <c:pt idx="3">
                  <c:v>33202</c:v>
                </c:pt>
                <c:pt idx="4">
                  <c:v>37373</c:v>
                </c:pt>
                <c:pt idx="5">
                  <c:v>148310</c:v>
                </c:pt>
                <c:pt idx="6">
                  <c:v>150490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369966816"/>
        <c:axId val="179021104"/>
      </c:barChart>
      <c:catAx>
        <c:axId val="3699668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9021104"/>
        <c:crosses val="autoZero"/>
        <c:auto val="1"/>
        <c:lblAlgn val="ctr"/>
        <c:lblOffset val="100"/>
        <c:noMultiLvlLbl val="0"/>
      </c:catAx>
      <c:valAx>
        <c:axId val="17902110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\ #,##0" sourceLinked="1"/>
        <c:majorTickMark val="none"/>
        <c:minorTickMark val="none"/>
        <c:tickLblPos val="nextTo"/>
        <c:crossAx val="36996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226840</xdr:colOff>
      <xdr:row>0</xdr:row>
      <xdr:rowOff>0</xdr:rowOff>
    </xdr:from>
    <xdr:to>
      <xdr:col>6</xdr:col>
      <xdr:colOff>644525</xdr:colOff>
      <xdr:row>6</xdr:row>
      <xdr:rowOff>176531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Reg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9750" y="0"/>
              <a:ext cx="1800000" cy="126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217315</xdr:colOff>
      <xdr:row>8</xdr:row>
      <xdr:rowOff>29368</xdr:rowOff>
    </xdr:from>
    <xdr:to>
      <xdr:col>6</xdr:col>
      <xdr:colOff>635000</xdr:colOff>
      <xdr:row>16</xdr:row>
      <xdr:rowOff>109141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Vende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034" y="1458118"/>
              <a:ext cx="1786904" cy="15085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217315</xdr:colOff>
      <xdr:row>16</xdr:row>
      <xdr:rowOff>158750</xdr:rowOff>
    </xdr:from>
    <xdr:to>
      <xdr:col>6</xdr:col>
      <xdr:colOff>635000</xdr:colOff>
      <xdr:row>23</xdr:row>
      <xdr:rowOff>156688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Produc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225" y="3048000"/>
              <a:ext cx="1800000" cy="126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470923</xdr:colOff>
      <xdr:row>6</xdr:row>
      <xdr:rowOff>51384</xdr:rowOff>
    </xdr:from>
    <xdr:to>
      <xdr:col>9</xdr:col>
      <xdr:colOff>933657</xdr:colOff>
      <xdr:row>20</xdr:row>
      <xdr:rowOff>47415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Vendedor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16470" y="1122947"/>
              <a:ext cx="1831953" cy="24963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171450</xdr:rowOff>
    </xdr:from>
    <xdr:to>
      <xdr:col>6</xdr:col>
      <xdr:colOff>342900</xdr:colOff>
      <xdr:row>29</xdr:row>
      <xdr:rowOff>57150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61912</xdr:colOff>
      <xdr:row>0</xdr:row>
      <xdr:rowOff>19050</xdr:rowOff>
    </xdr:from>
    <xdr:to>
      <xdr:col>16</xdr:col>
      <xdr:colOff>471487</xdr:colOff>
      <xdr:row>14</xdr:row>
      <xdr:rowOff>95250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20484</xdr:rowOff>
    </xdr:from>
    <xdr:to>
      <xdr:col>2</xdr:col>
      <xdr:colOff>419100</xdr:colOff>
      <xdr:row>16</xdr:row>
      <xdr:rowOff>20484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Region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689919"/>
              <a:ext cx="1832487" cy="12904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20484</xdr:colOff>
      <xdr:row>17</xdr:row>
      <xdr:rowOff>20484</xdr:rowOff>
    </xdr:from>
    <xdr:to>
      <xdr:col>2</xdr:col>
      <xdr:colOff>439584</xdr:colOff>
      <xdr:row>24</xdr:row>
      <xdr:rowOff>20484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uct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484" y="3164758"/>
              <a:ext cx="1832487" cy="12904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26</xdr:row>
      <xdr:rowOff>0</xdr:rowOff>
    </xdr:from>
    <xdr:to>
      <xdr:col>2</xdr:col>
      <xdr:colOff>419100</xdr:colOff>
      <xdr:row>33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Vendedor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803468"/>
              <a:ext cx="1832487" cy="12904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440403</xdr:colOff>
      <xdr:row>9</xdr:row>
      <xdr:rowOff>0</xdr:rowOff>
    </xdr:from>
    <xdr:to>
      <xdr:col>6</xdr:col>
      <xdr:colOff>665726</xdr:colOff>
      <xdr:row>20</xdr:row>
      <xdr:rowOff>132096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675968</xdr:colOff>
      <xdr:row>9</xdr:row>
      <xdr:rowOff>0</xdr:rowOff>
    </xdr:from>
    <xdr:to>
      <xdr:col>11</xdr:col>
      <xdr:colOff>0</xdr:colOff>
      <xdr:row>20</xdr:row>
      <xdr:rowOff>132096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409673</xdr:colOff>
      <xdr:row>20</xdr:row>
      <xdr:rowOff>133146</xdr:rowOff>
    </xdr:from>
    <xdr:to>
      <xdr:col>11</xdr:col>
      <xdr:colOff>0</xdr:colOff>
      <xdr:row>33</xdr:row>
      <xdr:rowOff>10243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raian" refreshedDate="44960.871879282407" createdVersion="5" refreshedVersion="5" minRefreshableVersion="3" recordCount="18">
  <cacheSource type="worksheet">
    <worksheetSource name="TablaVentas"/>
  </cacheSource>
  <cacheFields count="4">
    <cacheField name="Region" numFmtId="0">
      <sharedItems count="3">
        <s v="Oeste"/>
        <s v="Central"/>
        <s v="Este"/>
      </sharedItems>
    </cacheField>
    <cacheField name="Producto" numFmtId="0">
      <sharedItems count="3">
        <s v="Sistemas"/>
        <s v="Dispositivos"/>
        <s v="Accesorios"/>
      </sharedItems>
    </cacheField>
    <cacheField name="Vendedor" numFmtId="0">
      <sharedItems count="7">
        <s v="Kevin"/>
        <s v="Karen"/>
        <s v="Sara"/>
        <s v="Juan"/>
        <s v="Ana"/>
        <s v="Lucas"/>
        <s v="David"/>
      </sharedItems>
    </cacheField>
    <cacheField name="Ventas" numFmtId="164">
      <sharedItems containsSemiMixedTypes="0" containsString="0" containsNumber="1" containsInteger="1" minValue="4744" maxValue="13285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Braian" refreshedDate="44960.871879629631" createdVersion="5" refreshedVersion="5" minRefreshableVersion="3" recordCount="18">
  <cacheSource type="worksheet">
    <worksheetSource name="TablaVentas"/>
  </cacheSource>
  <cacheFields count="4">
    <cacheField name="Region" numFmtId="0">
      <sharedItems count="3">
        <s v="Oeste"/>
        <s v="Central"/>
        <s v="Este"/>
      </sharedItems>
    </cacheField>
    <cacheField name="Producto" numFmtId="0">
      <sharedItems count="3">
        <s v="Sistemas"/>
        <s v="Dispositivos"/>
        <s v="Accesorios"/>
      </sharedItems>
    </cacheField>
    <cacheField name="Vendedor" numFmtId="0">
      <sharedItems count="7">
        <s v="Kevin"/>
        <s v="Karen"/>
        <s v="Sara"/>
        <s v="Juan"/>
        <s v="Ana"/>
        <s v="Lucas"/>
        <s v="David"/>
      </sharedItems>
    </cacheField>
    <cacheField name="Ventas" numFmtId="164">
      <sharedItems containsSemiMixedTypes="0" containsString="0" containsNumber="1" containsInteger="1" minValue="4744" maxValue="132855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">
  <r>
    <x v="0"/>
    <x v="0"/>
    <x v="0"/>
    <n v="132855"/>
  </r>
  <r>
    <x v="1"/>
    <x v="0"/>
    <x v="1"/>
    <n v="130633"/>
  </r>
  <r>
    <x v="0"/>
    <x v="0"/>
    <x v="2"/>
    <n v="23151"/>
  </r>
  <r>
    <x v="1"/>
    <x v="0"/>
    <x v="3"/>
    <n v="20098"/>
  </r>
  <r>
    <x v="2"/>
    <x v="0"/>
    <x v="4"/>
    <n v="13531"/>
  </r>
  <r>
    <x v="2"/>
    <x v="0"/>
    <x v="5"/>
    <n v="13374"/>
  </r>
  <r>
    <x v="1"/>
    <x v="1"/>
    <x v="1"/>
    <n v="12948"/>
  </r>
  <r>
    <x v="1"/>
    <x v="1"/>
    <x v="6"/>
    <n v="11420"/>
  </r>
  <r>
    <x v="0"/>
    <x v="1"/>
    <x v="0"/>
    <n v="10711"/>
  </r>
  <r>
    <x v="2"/>
    <x v="1"/>
    <x v="4"/>
    <n v="10348"/>
  </r>
  <r>
    <x v="2"/>
    <x v="2"/>
    <x v="4"/>
    <n v="9323"/>
  </r>
  <r>
    <x v="2"/>
    <x v="1"/>
    <x v="5"/>
    <n v="9312"/>
  </r>
  <r>
    <x v="0"/>
    <x v="1"/>
    <x v="2"/>
    <n v="8780"/>
  </r>
  <r>
    <x v="1"/>
    <x v="2"/>
    <x v="6"/>
    <n v="8287"/>
  </r>
  <r>
    <x v="2"/>
    <x v="2"/>
    <x v="5"/>
    <n v="7667"/>
  </r>
  <r>
    <x v="1"/>
    <x v="2"/>
    <x v="1"/>
    <n v="6909"/>
  </r>
  <r>
    <x v="0"/>
    <x v="2"/>
    <x v="2"/>
    <n v="5442"/>
  </r>
  <r>
    <x v="0"/>
    <x v="2"/>
    <x v="0"/>
    <n v="474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">
  <r>
    <x v="0"/>
    <x v="0"/>
    <x v="0"/>
    <n v="132855"/>
  </r>
  <r>
    <x v="1"/>
    <x v="0"/>
    <x v="1"/>
    <n v="130633"/>
  </r>
  <r>
    <x v="0"/>
    <x v="0"/>
    <x v="2"/>
    <n v="23151"/>
  </r>
  <r>
    <x v="1"/>
    <x v="0"/>
    <x v="3"/>
    <n v="20098"/>
  </r>
  <r>
    <x v="2"/>
    <x v="0"/>
    <x v="4"/>
    <n v="13531"/>
  </r>
  <r>
    <x v="2"/>
    <x v="0"/>
    <x v="5"/>
    <n v="13374"/>
  </r>
  <r>
    <x v="1"/>
    <x v="1"/>
    <x v="1"/>
    <n v="12948"/>
  </r>
  <r>
    <x v="1"/>
    <x v="1"/>
    <x v="6"/>
    <n v="11420"/>
  </r>
  <r>
    <x v="0"/>
    <x v="1"/>
    <x v="0"/>
    <n v="10711"/>
  </r>
  <r>
    <x v="2"/>
    <x v="1"/>
    <x v="4"/>
    <n v="10348"/>
  </r>
  <r>
    <x v="2"/>
    <x v="2"/>
    <x v="4"/>
    <n v="9323"/>
  </r>
  <r>
    <x v="2"/>
    <x v="1"/>
    <x v="5"/>
    <n v="9312"/>
  </r>
  <r>
    <x v="0"/>
    <x v="1"/>
    <x v="2"/>
    <n v="8780"/>
  </r>
  <r>
    <x v="1"/>
    <x v="2"/>
    <x v="6"/>
    <n v="8287"/>
  </r>
  <r>
    <x v="2"/>
    <x v="2"/>
    <x v="5"/>
    <n v="7667"/>
  </r>
  <r>
    <x v="1"/>
    <x v="2"/>
    <x v="1"/>
    <n v="6909"/>
  </r>
  <r>
    <x v="0"/>
    <x v="2"/>
    <x v="2"/>
    <n v="5442"/>
  </r>
  <r>
    <x v="0"/>
    <x v="2"/>
    <x v="0"/>
    <n v="47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2" cacheId="63" applyNumberFormats="0" applyBorderFormats="0" applyFontFormats="0" applyPatternFormats="0" applyAlignmentFormats="0" applyWidthHeightFormats="1" dataCaption="Valores" updatedVersion="5" minRefreshableVersion="3" useAutoFormatting="1" colGrandTotals="0" itemPrintTitles="1" createdVersion="5" indent="0" outline="1" outlineData="1" multipleFieldFilters="0" chartFormat="2" rowHeaderCaption="Region">
  <location ref="I1:J32" firstHeaderRow="1" firstDataRow="1" firstDataCol="1"/>
  <pivotFields count="4">
    <pivotField axis="axisRow" showAll="0">
      <items count="4">
        <item x="1"/>
        <item x="2"/>
        <item x="0"/>
        <item t="default"/>
      </items>
    </pivotField>
    <pivotField axis="axisRow" showAll="0">
      <items count="4">
        <item x="2"/>
        <item x="1"/>
        <item x="0"/>
        <item t="default"/>
      </items>
    </pivotField>
    <pivotField axis="axisRow" showAll="0">
      <items count="8">
        <item x="4"/>
        <item x="6"/>
        <item x="1"/>
        <item x="0"/>
        <item x="5"/>
        <item x="2"/>
        <item x="3"/>
        <item t="default"/>
      </items>
    </pivotField>
    <pivotField dataField="1" numFmtId="164" showAll="0"/>
  </pivotFields>
  <rowFields count="3">
    <field x="0"/>
    <field x="1"/>
    <field x="2"/>
  </rowFields>
  <rowItems count="31">
    <i>
      <x/>
    </i>
    <i r="1">
      <x/>
    </i>
    <i r="2">
      <x v="1"/>
    </i>
    <i r="2">
      <x v="2"/>
    </i>
    <i r="1">
      <x v="1"/>
    </i>
    <i r="2">
      <x v="1"/>
    </i>
    <i r="2">
      <x v="2"/>
    </i>
    <i r="1">
      <x v="2"/>
    </i>
    <i r="2">
      <x v="2"/>
    </i>
    <i r="2">
      <x v="6"/>
    </i>
    <i>
      <x v="1"/>
    </i>
    <i r="1">
      <x/>
    </i>
    <i r="2">
      <x/>
    </i>
    <i r="2">
      <x v="4"/>
    </i>
    <i r="1">
      <x v="1"/>
    </i>
    <i r="2">
      <x/>
    </i>
    <i r="2">
      <x v="4"/>
    </i>
    <i r="1">
      <x v="2"/>
    </i>
    <i r="2">
      <x/>
    </i>
    <i r="2">
      <x v="4"/>
    </i>
    <i>
      <x v="2"/>
    </i>
    <i r="1">
      <x/>
    </i>
    <i r="2">
      <x v="3"/>
    </i>
    <i r="2">
      <x v="5"/>
    </i>
    <i r="1">
      <x v="1"/>
    </i>
    <i r="2">
      <x v="3"/>
    </i>
    <i r="2">
      <x v="5"/>
    </i>
    <i r="1">
      <x v="2"/>
    </i>
    <i r="2">
      <x v="3"/>
    </i>
    <i r="2">
      <x v="5"/>
    </i>
    <i t="grand">
      <x/>
    </i>
  </rowItems>
  <colItems count="1">
    <i/>
  </colItems>
  <dataFields count="1">
    <dataField name="Suma de Ventas" fld="3" baseField="0" baseItem="0" numFmtId="41"/>
  </dataFields>
  <formats count="2">
    <format dxfId="69">
      <pivotArea outline="0" collapsedLevelsAreSubtotals="1" fieldPosition="0"/>
    </format>
    <format dxfId="68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6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1" cacheId="63" applyNumberFormats="0" applyBorderFormats="0" applyFontFormats="0" applyPatternFormats="0" applyAlignmentFormats="0" applyWidthHeightFormats="1" dataCaption="Valores" updatedVersion="5" minRefreshableVersion="3" useAutoFormatting="1" colGrandTotals="0" itemPrintTitles="1" createdVersion="5" indent="0" outline="1" outlineData="1" multipleFieldFilters="0" chartFormat="3" rowHeaderCaption="Region">
  <location ref="A1:H15" firstHeaderRow="1" firstDataRow="2" firstDataCol="1"/>
  <pivotFields count="4">
    <pivotField axis="axisRow" showAll="0">
      <items count="4">
        <item x="1"/>
        <item x="2"/>
        <item x="0"/>
        <item t="default"/>
      </items>
    </pivotField>
    <pivotField axis="axisRow" showAll="0">
      <items count="4">
        <item x="2"/>
        <item x="1"/>
        <item x="0"/>
        <item t="default"/>
      </items>
    </pivotField>
    <pivotField axis="axisCol" showAll="0">
      <items count="8">
        <item x="4"/>
        <item x="6"/>
        <item x="1"/>
        <item x="0"/>
        <item x="5"/>
        <item x="2"/>
        <item x="3"/>
        <item t="default"/>
      </items>
    </pivotField>
    <pivotField dataField="1" numFmtId="164" showAll="0"/>
  </pivotFields>
  <rowFields count="2">
    <field x="0"/>
    <field x="1"/>
  </rowFields>
  <rowItems count="1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>
      <x v="6"/>
    </i>
  </colItems>
  <dataFields count="1">
    <dataField name="Suma de Ventas" fld="3" baseField="0" baseItem="0" numFmtId="41"/>
  </dataFields>
  <formats count="2">
    <format dxfId="71">
      <pivotArea outline="0" collapsedLevelsAreSubtotals="1" fieldPosition="0"/>
    </format>
    <format dxfId="70">
      <pivotArea dataOnly="0" labelOnly="1" outline="0" axis="axisValues" fieldPosition="0"/>
    </format>
  </format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Dark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2" cacheId="6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Región">
  <location ref="L32:L33" firstHeaderRow="1" firstDataRow="1" firstDataCol="0"/>
  <pivotFields count="4">
    <pivotField showAll="0">
      <items count="4">
        <item x="1"/>
        <item x="2"/>
        <item x="0"/>
        <item t="default"/>
      </items>
    </pivotField>
    <pivotField showAll="0">
      <items count="4">
        <item x="2"/>
        <item x="1"/>
        <item x="0"/>
        <item t="default"/>
      </items>
    </pivotField>
    <pivotField showAll="0">
      <items count="8">
        <item x="4"/>
        <item x="6"/>
        <item x="3"/>
        <item x="1"/>
        <item x="0"/>
        <item x="5"/>
        <item x="2"/>
        <item t="default"/>
      </items>
    </pivotField>
    <pivotField dataField="1" numFmtId="164" showAll="0"/>
  </pivotFields>
  <rowItems count="1">
    <i/>
  </rowItems>
  <colItems count="1">
    <i/>
  </colItems>
  <dataFields count="1">
    <dataField name=" Total General" fld="3" baseField="0" baseItem="0" numFmtId="165"/>
  </dataFields>
  <formats count="7">
    <format dxfId="15">
      <pivotArea outline="0" collapsedLevelsAreSubtotals="1" fieldPosition="0"/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dataOnly="0" labelOnly="1" outline="0" axis="axisValues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dataOnly="0" labelOnly="1" outline="0" axis="axisValues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1" cacheId="6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Región">
  <location ref="M32:M33" firstHeaderRow="1" firstDataRow="1" firstDataCol="0"/>
  <pivotFields count="4">
    <pivotField showAll="0">
      <items count="4">
        <item x="1"/>
        <item x="2"/>
        <item x="0"/>
        <item t="default"/>
      </items>
    </pivotField>
    <pivotField showAll="0">
      <items count="4">
        <item x="2"/>
        <item x="1"/>
        <item x="0"/>
        <item t="default"/>
      </items>
    </pivotField>
    <pivotField showAll="0">
      <items count="8">
        <item x="4"/>
        <item x="6"/>
        <item x="3"/>
        <item x="1"/>
        <item x="0"/>
        <item x="5"/>
        <item x="2"/>
        <item t="default"/>
      </items>
    </pivotField>
    <pivotField dataField="1" numFmtId="164" showAll="0"/>
  </pivotFields>
  <rowItems count="1">
    <i/>
  </rowItems>
  <colItems count="1">
    <i/>
  </colItems>
  <dataFields count="1">
    <dataField name="Máx. de Ventas" fld="3" subtotal="max" baseField="0" baseItem="2853551" numFmtId="165"/>
  </dataFields>
  <formats count="7">
    <format dxfId="22">
      <pivotArea outline="0" collapsedLevelsAreSubtotals="1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dataOnly="0" labelOnly="1" outline="0" axis="axisValues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dataOnly="0" labelOnly="1" outline="0" axis="axisValues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d_venta_maximo" cacheId="6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Región">
  <location ref="M29:M30" firstHeaderRow="1" firstDataRow="1" firstDataCol="0"/>
  <pivotFields count="4">
    <pivotField showAll="0">
      <items count="4">
        <item x="1"/>
        <item x="2"/>
        <item x="0"/>
        <item t="default"/>
      </items>
    </pivotField>
    <pivotField showAll="0">
      <items count="4">
        <item x="2"/>
        <item x="1"/>
        <item x="0"/>
        <item t="default"/>
      </items>
    </pivotField>
    <pivotField showAll="0">
      <items count="8">
        <item x="4"/>
        <item x="6"/>
        <item x="3"/>
        <item x="1"/>
        <item x="0"/>
        <item x="5"/>
        <item x="2"/>
        <item t="default"/>
      </items>
    </pivotField>
    <pivotField dataField="1" numFmtId="164" showAll="0"/>
  </pivotFields>
  <rowItems count="1">
    <i/>
  </rowItems>
  <colItems count="1">
    <i/>
  </colItems>
  <dataFields count="1">
    <dataField name="Máx. de Ventas" fld="3" subtotal="max" baseField="0" baseItem="2853551" numFmtId="165"/>
  </dataFields>
  <formats count="7">
    <format dxfId="29">
      <pivotArea outline="0" collapsedLevelsAreSubtotals="1" fieldPosition="0"/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dataOnly="0" labelOnly="1" outline="0" axis="axisValues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dataOnly="0" labelOnly="1" outline="0" axis="axisValues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d_venta_total" cacheId="6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Región">
  <location ref="L29:L30" firstHeaderRow="1" firstDataRow="1" firstDataCol="0"/>
  <pivotFields count="4">
    <pivotField showAll="0">
      <items count="4">
        <item x="1"/>
        <item x="2"/>
        <item x="0"/>
        <item t="default"/>
      </items>
    </pivotField>
    <pivotField showAll="0">
      <items count="4">
        <item x="2"/>
        <item x="1"/>
        <item x="0"/>
        <item t="default"/>
      </items>
    </pivotField>
    <pivotField showAll="0">
      <items count="8">
        <item x="4"/>
        <item x="6"/>
        <item x="3"/>
        <item x="1"/>
        <item x="0"/>
        <item x="5"/>
        <item x="2"/>
        <item t="default"/>
      </items>
    </pivotField>
    <pivotField dataField="1" numFmtId="164" showAll="0"/>
  </pivotFields>
  <rowItems count="1">
    <i/>
  </rowItems>
  <colItems count="1">
    <i/>
  </colItems>
  <dataFields count="1">
    <dataField name=" Total General" fld="3" baseField="0" baseItem="0" numFmtId="165"/>
  </dataFields>
  <formats count="7">
    <format dxfId="36">
      <pivotArea outline="0" collapsedLevelsAreSubtotals="1" fieldPosition="0"/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dataOnly="0" labelOnly="1" outline="0" axis="axisValues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dataOnly="0" labelOnly="1" outline="0" axis="axisValues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d_venta_vendedor" cacheId="68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outline="1" outlineData="1" multipleFieldFilters="0" chartFormat="7" rowHeaderCaption="Vendedor">
  <location ref="L20:M27" firstHeaderRow="1" firstDataRow="1" firstDataCol="1"/>
  <pivotFields count="4">
    <pivotField showAll="0">
      <items count="4">
        <item x="1"/>
        <item x="2"/>
        <item x="0"/>
        <item t="default"/>
      </items>
    </pivotField>
    <pivotField showAll="0">
      <items count="4">
        <item x="2"/>
        <item x="1"/>
        <item x="0"/>
        <item t="default"/>
      </items>
    </pivotField>
    <pivotField axis="axisRow" showAll="0" sortType="ascending">
      <items count="8">
        <item x="4"/>
        <item x="6"/>
        <item x="1"/>
        <item x="0"/>
        <item x="5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4" showAll="0"/>
  </pivotFields>
  <rowFields count="1">
    <field x="2"/>
  </rowFields>
  <rowItems count="7">
    <i>
      <x v="1"/>
    </i>
    <i>
      <x v="6"/>
    </i>
    <i>
      <x v="4"/>
    </i>
    <i>
      <x/>
    </i>
    <i>
      <x v="5"/>
    </i>
    <i>
      <x v="3"/>
    </i>
    <i>
      <x v="2"/>
    </i>
  </rowItems>
  <colItems count="1">
    <i/>
  </colItems>
  <dataFields count="1">
    <dataField name=" Ventas" fld="3" baseField="0" baseItem="0" numFmtId="165"/>
  </dataFields>
  <formats count="11">
    <format dxfId="47">
      <pivotArea outline="0" collapsedLevelsAreSubtotals="1" fieldPosition="0"/>
    </format>
    <format dxfId="46">
      <pivotArea dataOnly="0" labelOnly="1" fieldPosition="0">
        <references count="1">
          <reference field="2" count="0"/>
        </references>
      </pivotArea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2" type="button" dataOnly="0" labelOnly="1" outline="0" axis="axisRow" fieldPosition="0"/>
    </format>
    <format dxfId="42">
      <pivotArea dataOnly="0" labelOnly="1" outline="0" axis="axisValues" fieldPosition="0"/>
    </format>
    <format dxfId="41">
      <pivotArea dataOnly="0" labelOnly="1" fieldPosition="0">
        <references count="1">
          <reference field="2" count="0"/>
        </references>
      </pivotArea>
    </format>
    <format dxfId="40">
      <pivotArea field="2" type="button" dataOnly="0" labelOnly="1" outline="0" axis="axisRow" fieldPosition="0"/>
    </format>
    <format dxfId="39">
      <pivotArea dataOnly="0" labelOnly="1" fieldPosition="0">
        <references count="1">
          <reference field="2" count="0"/>
        </references>
      </pivotArea>
    </format>
    <format dxfId="38">
      <pivotArea outline="0" collapsedLevelsAreSubtotals="1" fieldPosition="0"/>
    </format>
    <format dxfId="37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d_venta_producto" cacheId="68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outline="1" outlineData="1" multipleFieldFilters="0" chartFormat="3" rowHeaderCaption="Producto">
  <location ref="L15:M18" firstHeaderRow="1" firstDataRow="1" firstDataCol="1"/>
  <pivotFields count="4">
    <pivotField showAll="0">
      <items count="4">
        <item x="1"/>
        <item x="2"/>
        <item x="0"/>
        <item t="default"/>
      </items>
    </pivotField>
    <pivotField axis="axisRow" showAll="0">
      <items count="4">
        <item x="2"/>
        <item x="1"/>
        <item x="0"/>
        <item t="default"/>
      </items>
    </pivotField>
    <pivotField showAll="0">
      <items count="8">
        <item x="4"/>
        <item x="6"/>
        <item x="3"/>
        <item x="1"/>
        <item x="0"/>
        <item x="5"/>
        <item x="2"/>
        <item t="default"/>
      </items>
    </pivotField>
    <pivotField dataField="1" numFmtId="164" showAl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 Ventas" fld="3" baseField="0" baseItem="0" numFmtId="165"/>
  </dataFields>
  <formats count="9">
    <format dxfId="56">
      <pivotArea type="all" dataOnly="0" outline="0" fieldPosition="0"/>
    </format>
    <format dxfId="55">
      <pivotArea outline="0" collapsedLevelsAreSubtotals="1" fieldPosition="0"/>
    </format>
    <format dxfId="54">
      <pivotArea field="1" type="button" dataOnly="0" labelOnly="1" outline="0" axis="axisRow" fieldPosition="0"/>
    </format>
    <format dxfId="53">
      <pivotArea dataOnly="0" labelOnly="1" outline="0" axis="axisValues" fieldPosition="0"/>
    </format>
    <format dxfId="52">
      <pivotArea dataOnly="0" labelOnly="1" fieldPosition="0">
        <references count="1">
          <reference field="1" count="0"/>
        </references>
      </pivotArea>
    </format>
    <format dxfId="51">
      <pivotArea field="1" type="button" dataOnly="0" labelOnly="1" outline="0" axis="axisRow" fieldPosition="0"/>
    </format>
    <format dxfId="50">
      <pivotArea dataOnly="0" labelOnly="1" fieldPosition="0">
        <references count="1">
          <reference field="1" count="0"/>
        </references>
      </pivotArea>
    </format>
    <format dxfId="49">
      <pivotArea outline="0" collapsedLevelsAreSubtotals="1" fieldPosition="0"/>
    </format>
    <format dxfId="48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d_venta_region" cacheId="68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outline="1" outlineData="1" multipleFieldFilters="0" chartFormat="17" rowHeaderCaption="Región">
  <location ref="L10:M13" firstHeaderRow="1" firstDataRow="1" firstDataCol="1"/>
  <pivotFields count="4">
    <pivotField axis="axisRow" showAll="0">
      <items count="4">
        <item x="1"/>
        <item x="2"/>
        <item x="0"/>
        <item t="default"/>
      </items>
    </pivotField>
    <pivotField showAll="0">
      <items count="4">
        <item x="2"/>
        <item x="1"/>
        <item x="0"/>
        <item t="default"/>
      </items>
    </pivotField>
    <pivotField showAll="0">
      <items count="8">
        <item x="4"/>
        <item x="6"/>
        <item x="3"/>
        <item x="1"/>
        <item x="0"/>
        <item x="5"/>
        <item x="2"/>
        <item t="default"/>
      </items>
    </pivotField>
    <pivotField dataField="1" numFmtId="164" showAll="0"/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 Ventas" fld="3" baseField="0" baseItem="0" numFmtId="165"/>
  </dataFields>
  <formats count="11"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0" type="button" dataOnly="0" labelOnly="1" outline="0" axis="axisRow" fieldPosition="0"/>
    </format>
    <format dxfId="64">
      <pivotArea dataOnly="0" labelOnly="1" outline="0" axis="axisValues" fieldPosition="0"/>
    </format>
    <format dxfId="63">
      <pivotArea dataOnly="0" labelOnly="1" fieldPosition="0">
        <references count="1">
          <reference field="0" count="0"/>
        </references>
      </pivotArea>
    </format>
    <format dxfId="62">
      <pivotArea outline="0" collapsedLevelsAreSubtotals="1" fieldPosition="0"/>
    </format>
    <format dxfId="61">
      <pivotArea dataOnly="0" labelOnly="1" fieldPosition="0">
        <references count="1">
          <reference field="0" count="0"/>
        </references>
      </pivotArea>
    </format>
    <format dxfId="60">
      <pivotArea field="0" type="button" dataOnly="0" labelOnly="1" outline="0" axis="axisRow" fieldPosition="0"/>
    </format>
    <format dxfId="59">
      <pivotArea dataOnly="0" labelOnly="1" fieldPosition="0">
        <references count="1">
          <reference field="0" count="0"/>
        </references>
      </pivotArea>
    </format>
    <format dxfId="58">
      <pivotArea outline="0" collapsedLevelsAreSubtotals="1" fieldPosition="0"/>
    </format>
    <format dxfId="57">
      <pivotArea dataOnly="0" labelOnly="1" outline="0" axis="axisValues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Vendedor1" sourceName="Vendedor">
  <pivotTables>
    <pivotTable tabId="2" name="Tabla dinámica2"/>
  </pivotTables>
  <data>
    <tabular pivotCacheId="1">
      <items count="7">
        <i x="4" s="1"/>
        <i x="6" s="1"/>
        <i x="3" s="1"/>
        <i x="1" s="1"/>
        <i x="0" s="1"/>
        <i x="5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Region1" sourceName="Region">
  <pivotTables>
    <pivotTable tabId="4" name="Td_venta_maximo"/>
    <pivotTable tabId="4" name="Td_venta_producto"/>
    <pivotTable tabId="4" name="Td_venta_total"/>
    <pivotTable tabId="4" name="Td_venta_vendedor"/>
    <pivotTable tabId="4" name="Tabla dinámica1"/>
    <pivotTable tabId="4" name="Tabla dinámica2"/>
  </pivotTables>
  <data>
    <tabular pivotCacheId="2">
      <items count="3">
        <i x="1" s="1"/>
        <i x="2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ucto1" sourceName="Producto">
  <pivotTables>
    <pivotTable tabId="4" name="Td_venta_region"/>
    <pivotTable tabId="4" name="Td_venta_maximo"/>
    <pivotTable tabId="4" name="Td_venta_total"/>
    <pivotTable tabId="4" name="Td_venta_vendedor"/>
    <pivotTable tabId="4" name="Tabla dinámica1"/>
    <pivotTable tabId="4" name="Tabla dinámica2"/>
  </pivotTables>
  <data>
    <tabular pivotCacheId="2">
      <items count="3">
        <i x="2" s="1"/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Vendedor2" sourceName="Vendedor">
  <pivotTables>
    <pivotTable tabId="4" name="Td_venta_region"/>
    <pivotTable tabId="4" name="Td_venta_maximo"/>
    <pivotTable tabId="4" name="Td_venta_producto"/>
    <pivotTable tabId="4" name="Td_venta_total"/>
    <pivotTable tabId="4" name="Tabla dinámica1"/>
    <pivotTable tabId="4" name="Tabla dinámica2"/>
  </pivotTables>
  <data>
    <tabular pivotCacheId="2">
      <items count="7">
        <i x="4" s="1"/>
        <i x="6" s="1"/>
        <i x="3" s="1"/>
        <i x="1" s="1"/>
        <i x="0" s="1"/>
        <i x="5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Region" sourceName="Region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Vendedor" sourceName="Vendedor">
  <extLst>
    <x:ext xmlns:x15="http://schemas.microsoft.com/office/spreadsheetml/2010/11/main" uri="{2F2917AC-EB37-4324-AD4E-5DD8C200BD13}">
      <x15:tableSlicerCache tableId="1" column="3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ucto" sourceName="Producto">
  <extLst>
    <x:ext xmlns:x15="http://schemas.microsoft.com/office/spreadsheetml/2010/11/main" uri="{2F2917AC-EB37-4324-AD4E-5DD8C200BD13}">
      <x15:tableSlicerCache tableId="1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Vendedor 1" cache="SegmentaciónDeDatos_Vendedor1" caption="Vendedor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Region" cache="SegmentaciónDeDatos_Region" caption="Region" rowHeight="241300"/>
  <slicer name="Vendedor" cache="SegmentaciónDeDatos_Vendedor" caption="Vendedor" columnCount="2" style="SlicerStyleLight4" rowHeight="241300"/>
  <slicer name="Producto" cache="SegmentaciónDeDatos_Producto" caption="Producto" style="SlicerStyleLight6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Region 1" cache="SegmentaciónDeDatos_Region1" caption="Region" rowHeight="241300"/>
  <slicer name="Producto 1" cache="SegmentaciónDeDatos_Producto1" caption="Producto" style="SlicerStyleLight2" rowHeight="241300"/>
  <slicer name="Vendedor 2" cache="SegmentaciónDeDatos_Vendedor2" caption="Vendedor" columnCount="2" style="SlicerStyleLight6" rowHeight="241300"/>
</slicers>
</file>

<file path=xl/tables/table1.xml><?xml version="1.0" encoding="utf-8"?>
<table xmlns="http://schemas.openxmlformats.org/spreadsheetml/2006/main" id="1" name="TablaVentas" displayName="TablaVentas" ref="A1:D20" totalsRowCount="1" headerRowDxfId="2" totalsRowDxfId="1" headerRowBorderDxfId="7" tableBorderDxfId="8">
  <autoFilter ref="A1:D19"/>
  <sortState ref="A2:D19">
    <sortCondition descending="1" ref="D1:D19"/>
  </sortState>
  <tableColumns count="4">
    <tableColumn id="1" name="Region" totalsRowLabel="Total" dataDxfId="6"/>
    <tableColumn id="2" name="Producto" dataDxfId="5"/>
    <tableColumn id="3" name="Vendedor" dataDxfId="4"/>
    <tableColumn id="4" name="Ventas" totalsRowFunction="sum" dataDxfId="3" totalsRowDxfId="0"/>
  </tableColumns>
  <tableStyleInfo name="TableStyleMedium2" showFirstColumn="0" showLastColumn="1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07/relationships/slicer" Target="../slicers/slicer2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5.xml"/><Relationship Id="rId7" Type="http://schemas.openxmlformats.org/officeDocument/2006/relationships/pivotTable" Target="../pivotTables/pivotTable9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10" Type="http://schemas.microsoft.com/office/2007/relationships/slicer" Target="../slicers/slicer3.xml"/><Relationship Id="rId4" Type="http://schemas.openxmlformats.org/officeDocument/2006/relationships/pivotTable" Target="../pivotTables/pivotTable6.xml"/><Relationship Id="rId9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34"/>
  <sheetViews>
    <sheetView zoomScale="96" zoomScaleNormal="96" workbookViewId="0">
      <selection activeCell="C6" sqref="C6"/>
    </sheetView>
  </sheetViews>
  <sheetFormatPr baseColWidth="10" defaultColWidth="9" defaultRowHeight="14.25" x14ac:dyDescent="0.2"/>
  <cols>
    <col min="1" max="2" width="11.25" customWidth="1"/>
    <col min="3" max="3" width="11.875" customWidth="1"/>
    <col min="4" max="4" width="12.875" style="1" customWidth="1"/>
    <col min="10" max="10" width="15.375" customWidth="1"/>
    <col min="11" max="11" width="16.625" style="6" customWidth="1"/>
    <col min="12" max="12" width="11.625" customWidth="1"/>
    <col min="13" max="13" width="13.5" bestFit="1" customWidth="1"/>
    <col min="14" max="14" width="10.875" customWidth="1"/>
    <col min="15" max="16" width="7" bestFit="1" customWidth="1"/>
    <col min="17" max="21" width="7" customWidth="1"/>
  </cols>
  <sheetData>
    <row r="1" spans="1:11" x14ac:dyDescent="0.2">
      <c r="A1" s="17" t="s">
        <v>0</v>
      </c>
      <c r="B1" s="18" t="s">
        <v>1</v>
      </c>
      <c r="C1" s="18" t="s">
        <v>2</v>
      </c>
      <c r="D1" s="19" t="s">
        <v>3</v>
      </c>
      <c r="K1"/>
    </row>
    <row r="2" spans="1:11" x14ac:dyDescent="0.2">
      <c r="A2" s="20" t="s">
        <v>13</v>
      </c>
      <c r="B2" s="21" t="s">
        <v>9</v>
      </c>
      <c r="C2" s="21" t="s">
        <v>14</v>
      </c>
      <c r="D2" s="22">
        <v>132855</v>
      </c>
      <c r="K2"/>
    </row>
    <row r="3" spans="1:11" x14ac:dyDescent="0.2">
      <c r="A3" s="20" t="s">
        <v>4</v>
      </c>
      <c r="B3" s="21" t="s">
        <v>9</v>
      </c>
      <c r="C3" s="21" t="s">
        <v>7</v>
      </c>
      <c r="D3" s="22">
        <v>130633</v>
      </c>
      <c r="K3"/>
    </row>
    <row r="4" spans="1:11" x14ac:dyDescent="0.2">
      <c r="A4" s="20" t="s">
        <v>13</v>
      </c>
      <c r="B4" s="21" t="s">
        <v>9</v>
      </c>
      <c r="C4" s="21" t="s">
        <v>15</v>
      </c>
      <c r="D4" s="22">
        <v>23151</v>
      </c>
      <c r="K4"/>
    </row>
    <row r="5" spans="1:11" x14ac:dyDescent="0.2">
      <c r="A5" s="20" t="s">
        <v>4</v>
      </c>
      <c r="B5" s="21" t="s">
        <v>9</v>
      </c>
      <c r="C5" s="21" t="s">
        <v>25</v>
      </c>
      <c r="D5" s="22">
        <v>20098</v>
      </c>
      <c r="K5"/>
    </row>
    <row r="6" spans="1:11" x14ac:dyDescent="0.2">
      <c r="A6" s="20" t="s">
        <v>10</v>
      </c>
      <c r="B6" s="21" t="s">
        <v>9</v>
      </c>
      <c r="C6" s="21" t="s">
        <v>11</v>
      </c>
      <c r="D6" s="22">
        <v>13531</v>
      </c>
      <c r="K6"/>
    </row>
    <row r="7" spans="1:11" x14ac:dyDescent="0.2">
      <c r="A7" s="20" t="s">
        <v>10</v>
      </c>
      <c r="B7" s="21" t="s">
        <v>9</v>
      </c>
      <c r="C7" s="21" t="s">
        <v>12</v>
      </c>
      <c r="D7" s="22">
        <v>13374</v>
      </c>
      <c r="K7"/>
    </row>
    <row r="8" spans="1:11" x14ac:dyDescent="0.2">
      <c r="A8" s="20" t="s">
        <v>4</v>
      </c>
      <c r="B8" s="21" t="s">
        <v>8</v>
      </c>
      <c r="C8" s="21" t="s">
        <v>7</v>
      </c>
      <c r="D8" s="22">
        <v>12948</v>
      </c>
      <c r="K8"/>
    </row>
    <row r="9" spans="1:11" x14ac:dyDescent="0.2">
      <c r="A9" s="20" t="s">
        <v>4</v>
      </c>
      <c r="B9" s="21" t="s">
        <v>8</v>
      </c>
      <c r="C9" s="21" t="s">
        <v>6</v>
      </c>
      <c r="D9" s="22">
        <v>11420</v>
      </c>
      <c r="K9"/>
    </row>
    <row r="10" spans="1:11" x14ac:dyDescent="0.2">
      <c r="A10" s="20" t="s">
        <v>13</v>
      </c>
      <c r="B10" s="21" t="s">
        <v>8</v>
      </c>
      <c r="C10" s="21" t="s">
        <v>14</v>
      </c>
      <c r="D10" s="22">
        <v>10711</v>
      </c>
      <c r="K10"/>
    </row>
    <row r="11" spans="1:11" x14ac:dyDescent="0.2">
      <c r="A11" s="20" t="s">
        <v>10</v>
      </c>
      <c r="B11" s="21" t="s">
        <v>8</v>
      </c>
      <c r="C11" s="21" t="s">
        <v>11</v>
      </c>
      <c r="D11" s="22">
        <v>10348</v>
      </c>
      <c r="K11"/>
    </row>
    <row r="12" spans="1:11" x14ac:dyDescent="0.2">
      <c r="A12" s="20" t="s">
        <v>10</v>
      </c>
      <c r="B12" s="21" t="s">
        <v>5</v>
      </c>
      <c r="C12" s="21" t="s">
        <v>11</v>
      </c>
      <c r="D12" s="22">
        <v>9323</v>
      </c>
      <c r="K12"/>
    </row>
    <row r="13" spans="1:11" x14ac:dyDescent="0.2">
      <c r="A13" s="20" t="s">
        <v>10</v>
      </c>
      <c r="B13" s="21" t="s">
        <v>8</v>
      </c>
      <c r="C13" s="21" t="s">
        <v>12</v>
      </c>
      <c r="D13" s="22">
        <v>9312</v>
      </c>
      <c r="K13"/>
    </row>
    <row r="14" spans="1:11" x14ac:dyDescent="0.2">
      <c r="A14" s="20" t="s">
        <v>13</v>
      </c>
      <c r="B14" s="21" t="s">
        <v>8</v>
      </c>
      <c r="C14" s="21" t="s">
        <v>15</v>
      </c>
      <c r="D14" s="22">
        <v>8780</v>
      </c>
      <c r="K14"/>
    </row>
    <row r="15" spans="1:11" x14ac:dyDescent="0.2">
      <c r="A15" s="20" t="s">
        <v>4</v>
      </c>
      <c r="B15" s="21" t="s">
        <v>5</v>
      </c>
      <c r="C15" s="21" t="s">
        <v>6</v>
      </c>
      <c r="D15" s="22">
        <v>8287</v>
      </c>
      <c r="K15"/>
    </row>
    <row r="16" spans="1:11" x14ac:dyDescent="0.2">
      <c r="A16" s="20" t="s">
        <v>10</v>
      </c>
      <c r="B16" s="21" t="s">
        <v>5</v>
      </c>
      <c r="C16" s="21" t="s">
        <v>12</v>
      </c>
      <c r="D16" s="22">
        <v>7667</v>
      </c>
      <c r="K16"/>
    </row>
    <row r="17" spans="1:11" x14ac:dyDescent="0.2">
      <c r="A17" s="20" t="s">
        <v>4</v>
      </c>
      <c r="B17" s="21" t="s">
        <v>5</v>
      </c>
      <c r="C17" s="21" t="s">
        <v>7</v>
      </c>
      <c r="D17" s="22">
        <v>6909</v>
      </c>
      <c r="K17"/>
    </row>
    <row r="18" spans="1:11" x14ac:dyDescent="0.2">
      <c r="A18" s="20" t="s">
        <v>13</v>
      </c>
      <c r="B18" s="21" t="s">
        <v>5</v>
      </c>
      <c r="C18" s="21" t="s">
        <v>15</v>
      </c>
      <c r="D18" s="22">
        <v>5442</v>
      </c>
      <c r="K18"/>
    </row>
    <row r="19" spans="1:11" x14ac:dyDescent="0.2">
      <c r="A19" s="23" t="s">
        <v>13</v>
      </c>
      <c r="B19" s="24" t="s">
        <v>5</v>
      </c>
      <c r="C19" s="24" t="s">
        <v>14</v>
      </c>
      <c r="D19" s="25">
        <v>4744</v>
      </c>
      <c r="K19"/>
    </row>
    <row r="20" spans="1:11" x14ac:dyDescent="0.2">
      <c r="A20" t="s">
        <v>24</v>
      </c>
      <c r="D20" s="2">
        <f>SUBTOTAL(109,TablaVentas[Ventas])</f>
        <v>439533</v>
      </c>
      <c r="K20"/>
    </row>
    <row r="21" spans="1:11" x14ac:dyDescent="0.2">
      <c r="K21"/>
    </row>
    <row r="22" spans="1:11" x14ac:dyDescent="0.2">
      <c r="K22"/>
    </row>
    <row r="23" spans="1:11" x14ac:dyDescent="0.2">
      <c r="K23"/>
    </row>
    <row r="24" spans="1:11" x14ac:dyDescent="0.2">
      <c r="K24"/>
    </row>
    <row r="25" spans="1:11" x14ac:dyDescent="0.2">
      <c r="K25"/>
    </row>
    <row r="26" spans="1:11" x14ac:dyDescent="0.2">
      <c r="K26"/>
    </row>
    <row r="27" spans="1:11" x14ac:dyDescent="0.2">
      <c r="K27"/>
    </row>
    <row r="28" spans="1:11" x14ac:dyDescent="0.2">
      <c r="K28"/>
    </row>
    <row r="29" spans="1:11" x14ac:dyDescent="0.2">
      <c r="K29"/>
    </row>
    <row r="30" spans="1:11" x14ac:dyDescent="0.2">
      <c r="K30"/>
    </row>
    <row r="31" spans="1:11" x14ac:dyDescent="0.2">
      <c r="K31"/>
    </row>
    <row r="32" spans="1:11" x14ac:dyDescent="0.2">
      <c r="K32"/>
    </row>
    <row r="33" spans="11:11" x14ac:dyDescent="0.2">
      <c r="K33"/>
    </row>
    <row r="34" spans="11:11" x14ac:dyDescent="0.2">
      <c r="K34"/>
    </row>
  </sheetData>
  <conditionalFormatting sqref="D1:D19 D21:D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{06668D5A-E09A-40ED-9E5D-575D66A0675B}</x14:id>
        </ext>
      </extLst>
    </cfRule>
  </conditionalFormatting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6668D5A-E09A-40ED-9E5D-575D66A0675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D1:D19 D21:D1048576</xm:sqref>
        </x14:conditionalFormatting>
      </x14:conditionalFormattings>
    </ex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32"/>
  <sheetViews>
    <sheetView workbookViewId="0">
      <selection activeCell="D7" sqref="D7"/>
    </sheetView>
  </sheetViews>
  <sheetFormatPr baseColWidth="10" defaultColWidth="9" defaultRowHeight="14.25" x14ac:dyDescent="0.2"/>
  <cols>
    <col min="1" max="1" width="15" customWidth="1"/>
    <col min="2" max="2" width="22" customWidth="1"/>
    <col min="3" max="3" width="7.625" customWidth="1"/>
    <col min="4" max="5" width="8.625" customWidth="1"/>
    <col min="6" max="8" width="7.625" customWidth="1"/>
    <col min="9" max="9" width="14.625" bestFit="1" customWidth="1"/>
    <col min="10" max="10" width="15.625" bestFit="1" customWidth="1"/>
    <col min="11" max="11" width="16.625" customWidth="1"/>
  </cols>
  <sheetData>
    <row r="1" spans="1:10" x14ac:dyDescent="0.2">
      <c r="A1" s="3" t="s">
        <v>16</v>
      </c>
      <c r="B1" s="3" t="s">
        <v>18</v>
      </c>
      <c r="I1" s="3" t="s">
        <v>0</v>
      </c>
      <c r="J1" s="6" t="s">
        <v>16</v>
      </c>
    </row>
    <row r="2" spans="1:10" x14ac:dyDescent="0.2">
      <c r="A2" s="3" t="s">
        <v>0</v>
      </c>
      <c r="B2" t="s">
        <v>11</v>
      </c>
      <c r="C2" t="s">
        <v>6</v>
      </c>
      <c r="D2" t="s">
        <v>7</v>
      </c>
      <c r="E2" t="s">
        <v>14</v>
      </c>
      <c r="F2" t="s">
        <v>12</v>
      </c>
      <c r="G2" t="s">
        <v>15</v>
      </c>
      <c r="H2" t="s">
        <v>25</v>
      </c>
      <c r="I2" s="4" t="s">
        <v>4</v>
      </c>
      <c r="J2" s="6">
        <v>190295</v>
      </c>
    </row>
    <row r="3" spans="1:10" x14ac:dyDescent="0.2">
      <c r="A3" s="4" t="s">
        <v>4</v>
      </c>
      <c r="B3" s="6"/>
      <c r="C3" s="6">
        <v>19707</v>
      </c>
      <c r="D3" s="6">
        <v>150490</v>
      </c>
      <c r="E3" s="6"/>
      <c r="F3" s="6"/>
      <c r="G3" s="6"/>
      <c r="H3" s="6">
        <v>20098</v>
      </c>
      <c r="I3" s="5" t="s">
        <v>5</v>
      </c>
      <c r="J3" s="6">
        <v>15196</v>
      </c>
    </row>
    <row r="4" spans="1:10" x14ac:dyDescent="0.2">
      <c r="A4" s="5" t="s">
        <v>5</v>
      </c>
      <c r="B4" s="6"/>
      <c r="C4" s="6">
        <v>8287</v>
      </c>
      <c r="D4" s="6">
        <v>6909</v>
      </c>
      <c r="E4" s="6"/>
      <c r="F4" s="6"/>
      <c r="G4" s="6"/>
      <c r="H4" s="6"/>
      <c r="I4" s="7" t="s">
        <v>6</v>
      </c>
      <c r="J4" s="6">
        <v>8287</v>
      </c>
    </row>
    <row r="5" spans="1:10" x14ac:dyDescent="0.2">
      <c r="A5" s="5" t="s">
        <v>8</v>
      </c>
      <c r="B5" s="6"/>
      <c r="C5" s="6">
        <v>11420</v>
      </c>
      <c r="D5" s="6">
        <v>12948</v>
      </c>
      <c r="E5" s="6"/>
      <c r="F5" s="6"/>
      <c r="G5" s="6"/>
      <c r="H5" s="6"/>
      <c r="I5" s="7" t="s">
        <v>7</v>
      </c>
      <c r="J5" s="6">
        <v>6909</v>
      </c>
    </row>
    <row r="6" spans="1:10" x14ac:dyDescent="0.2">
      <c r="A6" s="5" t="s">
        <v>9</v>
      </c>
      <c r="B6" s="6"/>
      <c r="C6" s="6"/>
      <c r="D6" s="6">
        <v>130633</v>
      </c>
      <c r="E6" s="6"/>
      <c r="F6" s="6"/>
      <c r="G6" s="6"/>
      <c r="H6" s="6">
        <v>20098</v>
      </c>
      <c r="I6" s="5" t="s">
        <v>8</v>
      </c>
      <c r="J6" s="6">
        <v>24368</v>
      </c>
    </row>
    <row r="7" spans="1:10" x14ac:dyDescent="0.2">
      <c r="A7" s="4" t="s">
        <v>10</v>
      </c>
      <c r="B7" s="6">
        <v>33202</v>
      </c>
      <c r="C7" s="6"/>
      <c r="D7" s="6"/>
      <c r="E7" s="6"/>
      <c r="F7" s="6">
        <v>30353</v>
      </c>
      <c r="G7" s="6"/>
      <c r="H7" s="6"/>
      <c r="I7" s="7" t="s">
        <v>6</v>
      </c>
      <c r="J7" s="6">
        <v>11420</v>
      </c>
    </row>
    <row r="8" spans="1:10" x14ac:dyDescent="0.2">
      <c r="A8" s="5" t="s">
        <v>5</v>
      </c>
      <c r="B8" s="6">
        <v>9323</v>
      </c>
      <c r="C8" s="6"/>
      <c r="D8" s="6"/>
      <c r="E8" s="6"/>
      <c r="F8" s="6">
        <v>7667</v>
      </c>
      <c r="G8" s="6"/>
      <c r="H8" s="6"/>
      <c r="I8" s="7" t="s">
        <v>7</v>
      </c>
      <c r="J8" s="6">
        <v>12948</v>
      </c>
    </row>
    <row r="9" spans="1:10" x14ac:dyDescent="0.2">
      <c r="A9" s="5" t="s">
        <v>8</v>
      </c>
      <c r="B9" s="6">
        <v>10348</v>
      </c>
      <c r="C9" s="6"/>
      <c r="D9" s="6"/>
      <c r="E9" s="6"/>
      <c r="F9" s="6">
        <v>9312</v>
      </c>
      <c r="G9" s="6"/>
      <c r="H9" s="6"/>
      <c r="I9" s="5" t="s">
        <v>9</v>
      </c>
      <c r="J9" s="6">
        <v>150731</v>
      </c>
    </row>
    <row r="10" spans="1:10" x14ac:dyDescent="0.2">
      <c r="A10" s="5" t="s">
        <v>9</v>
      </c>
      <c r="B10" s="6">
        <v>13531</v>
      </c>
      <c r="C10" s="6"/>
      <c r="D10" s="6"/>
      <c r="E10" s="6"/>
      <c r="F10" s="6">
        <v>13374</v>
      </c>
      <c r="G10" s="6"/>
      <c r="H10" s="6"/>
      <c r="I10" s="7" t="s">
        <v>7</v>
      </c>
      <c r="J10" s="6">
        <v>130633</v>
      </c>
    </row>
    <row r="11" spans="1:10" x14ac:dyDescent="0.2">
      <c r="A11" s="4" t="s">
        <v>13</v>
      </c>
      <c r="B11" s="6"/>
      <c r="C11" s="6"/>
      <c r="D11" s="6"/>
      <c r="E11" s="6">
        <v>148310</v>
      </c>
      <c r="F11" s="6"/>
      <c r="G11" s="6">
        <v>37373</v>
      </c>
      <c r="H11" s="6"/>
      <c r="I11" s="7" t="s">
        <v>25</v>
      </c>
      <c r="J11" s="6">
        <v>20098</v>
      </c>
    </row>
    <row r="12" spans="1:10" x14ac:dyDescent="0.2">
      <c r="A12" s="5" t="s">
        <v>5</v>
      </c>
      <c r="B12" s="6"/>
      <c r="C12" s="6"/>
      <c r="D12" s="6"/>
      <c r="E12" s="6">
        <v>4744</v>
      </c>
      <c r="F12" s="6"/>
      <c r="G12" s="6">
        <v>5442</v>
      </c>
      <c r="H12" s="6"/>
      <c r="I12" s="4" t="s">
        <v>10</v>
      </c>
      <c r="J12" s="6">
        <v>63555</v>
      </c>
    </row>
    <row r="13" spans="1:10" x14ac:dyDescent="0.2">
      <c r="A13" s="5" t="s">
        <v>8</v>
      </c>
      <c r="B13" s="6"/>
      <c r="C13" s="6"/>
      <c r="D13" s="6"/>
      <c r="E13" s="6">
        <v>10711</v>
      </c>
      <c r="F13" s="6"/>
      <c r="G13" s="6">
        <v>8780</v>
      </c>
      <c r="H13" s="6"/>
      <c r="I13" s="5" t="s">
        <v>5</v>
      </c>
      <c r="J13" s="6">
        <v>16990</v>
      </c>
    </row>
    <row r="14" spans="1:10" x14ac:dyDescent="0.2">
      <c r="A14" s="5" t="s">
        <v>9</v>
      </c>
      <c r="B14" s="6"/>
      <c r="C14" s="6"/>
      <c r="D14" s="6"/>
      <c r="E14" s="6">
        <v>132855</v>
      </c>
      <c r="F14" s="6"/>
      <c r="G14" s="6">
        <v>23151</v>
      </c>
      <c r="H14" s="6"/>
      <c r="I14" s="7" t="s">
        <v>11</v>
      </c>
      <c r="J14" s="6">
        <v>9323</v>
      </c>
    </row>
    <row r="15" spans="1:10" x14ac:dyDescent="0.2">
      <c r="A15" s="4" t="s">
        <v>17</v>
      </c>
      <c r="B15" s="6">
        <v>33202</v>
      </c>
      <c r="C15" s="6">
        <v>19707</v>
      </c>
      <c r="D15" s="6">
        <v>150490</v>
      </c>
      <c r="E15" s="6">
        <v>148310</v>
      </c>
      <c r="F15" s="6">
        <v>30353</v>
      </c>
      <c r="G15" s="6">
        <v>37373</v>
      </c>
      <c r="H15" s="6">
        <v>20098</v>
      </c>
      <c r="I15" s="7" t="s">
        <v>12</v>
      </c>
      <c r="J15" s="6">
        <v>7667</v>
      </c>
    </row>
    <row r="16" spans="1:10" x14ac:dyDescent="0.2">
      <c r="I16" s="5" t="s">
        <v>8</v>
      </c>
      <c r="J16" s="6">
        <v>19660</v>
      </c>
    </row>
    <row r="17" spans="9:10" x14ac:dyDescent="0.2">
      <c r="I17" s="7" t="s">
        <v>11</v>
      </c>
      <c r="J17" s="6">
        <v>10348</v>
      </c>
    </row>
    <row r="18" spans="9:10" x14ac:dyDescent="0.2">
      <c r="I18" s="7" t="s">
        <v>12</v>
      </c>
      <c r="J18" s="6">
        <v>9312</v>
      </c>
    </row>
    <row r="19" spans="9:10" x14ac:dyDescent="0.2">
      <c r="I19" s="5" t="s">
        <v>9</v>
      </c>
      <c r="J19" s="6">
        <v>26905</v>
      </c>
    </row>
    <row r="20" spans="9:10" x14ac:dyDescent="0.2">
      <c r="I20" s="7" t="s">
        <v>11</v>
      </c>
      <c r="J20" s="6">
        <v>13531</v>
      </c>
    </row>
    <row r="21" spans="9:10" x14ac:dyDescent="0.2">
      <c r="I21" s="7" t="s">
        <v>12</v>
      </c>
      <c r="J21" s="6">
        <v>13374</v>
      </c>
    </row>
    <row r="22" spans="9:10" x14ac:dyDescent="0.2">
      <c r="I22" s="4" t="s">
        <v>13</v>
      </c>
      <c r="J22" s="6">
        <v>185683</v>
      </c>
    </row>
    <row r="23" spans="9:10" x14ac:dyDescent="0.2">
      <c r="I23" s="5" t="s">
        <v>5</v>
      </c>
      <c r="J23" s="6">
        <v>10186</v>
      </c>
    </row>
    <row r="24" spans="9:10" x14ac:dyDescent="0.2">
      <c r="I24" s="7" t="s">
        <v>14</v>
      </c>
      <c r="J24" s="6">
        <v>4744</v>
      </c>
    </row>
    <row r="25" spans="9:10" x14ac:dyDescent="0.2">
      <c r="I25" s="7" t="s">
        <v>15</v>
      </c>
      <c r="J25" s="6">
        <v>5442</v>
      </c>
    </row>
    <row r="26" spans="9:10" x14ac:dyDescent="0.2">
      <c r="I26" s="5" t="s">
        <v>8</v>
      </c>
      <c r="J26" s="6">
        <v>19491</v>
      </c>
    </row>
    <row r="27" spans="9:10" x14ac:dyDescent="0.2">
      <c r="I27" s="7" t="s">
        <v>14</v>
      </c>
      <c r="J27" s="6">
        <v>10711</v>
      </c>
    </row>
    <row r="28" spans="9:10" x14ac:dyDescent="0.2">
      <c r="I28" s="7" t="s">
        <v>15</v>
      </c>
      <c r="J28" s="6">
        <v>8780</v>
      </c>
    </row>
    <row r="29" spans="9:10" x14ac:dyDescent="0.2">
      <c r="I29" s="5" t="s">
        <v>9</v>
      </c>
      <c r="J29" s="6">
        <v>156006</v>
      </c>
    </row>
    <row r="30" spans="9:10" x14ac:dyDescent="0.2">
      <c r="I30" s="7" t="s">
        <v>14</v>
      </c>
      <c r="J30" s="6">
        <v>132855</v>
      </c>
    </row>
    <row r="31" spans="9:10" x14ac:dyDescent="0.2">
      <c r="I31" s="7" t="s">
        <v>15</v>
      </c>
      <c r="J31" s="6">
        <v>23151</v>
      </c>
    </row>
    <row r="32" spans="9:10" x14ac:dyDescent="0.2">
      <c r="I32" s="4" t="s">
        <v>17</v>
      </c>
      <c r="J32" s="6">
        <v>439533</v>
      </c>
    </row>
  </sheetData>
  <pageMargins left="0.7" right="0.7" top="0.75" bottom="0.75" header="0.3" footer="0.3"/>
  <pageSetup paperSize="9" orientation="portrait" horizontalDpi="0" verticalDpi="0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7:M33"/>
  <sheetViews>
    <sheetView tabSelected="1" topLeftCell="A10" zoomScale="87" zoomScaleNormal="87" workbookViewId="0">
      <selection activeCell="M10" sqref="M1:M1048576"/>
    </sheetView>
  </sheetViews>
  <sheetFormatPr baseColWidth="10" defaultRowHeight="14.25" x14ac:dyDescent="0.2"/>
  <cols>
    <col min="1" max="1" width="10.625" customWidth="1"/>
    <col min="2" max="2" width="7.875" bestFit="1" customWidth="1"/>
    <col min="3" max="4" width="10"/>
    <col min="5" max="5" width="12.5" customWidth="1"/>
    <col min="6" max="6" width="9.5" bestFit="1" customWidth="1"/>
    <col min="8" max="8" width="14.875" customWidth="1"/>
    <col min="12" max="12" width="12" style="9" customWidth="1"/>
    <col min="13" max="13" width="9.125" style="9" customWidth="1"/>
    <col min="14" max="14" width="15.375" bestFit="1" customWidth="1"/>
  </cols>
  <sheetData>
    <row r="7" spans="1:13" ht="14.25" customHeight="1" x14ac:dyDescent="0.2">
      <c r="A7" s="16" t="s">
        <v>23</v>
      </c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</row>
    <row r="8" spans="1:13" ht="14.25" customHeight="1" x14ac:dyDescent="0.2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</row>
    <row r="9" spans="1:13" ht="15" customHeight="1" x14ac:dyDescent="0.2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</row>
    <row r="10" spans="1:13" x14ac:dyDescent="0.2">
      <c r="L10" s="10" t="s">
        <v>20</v>
      </c>
      <c r="M10" s="12" t="s">
        <v>19</v>
      </c>
    </row>
    <row r="11" spans="1:13" x14ac:dyDescent="0.2">
      <c r="L11" s="11" t="s">
        <v>4</v>
      </c>
      <c r="M11" s="14">
        <v>190295</v>
      </c>
    </row>
    <row r="12" spans="1:13" x14ac:dyDescent="0.2">
      <c r="L12" s="11" t="s">
        <v>10</v>
      </c>
      <c r="M12" s="14">
        <v>63555</v>
      </c>
    </row>
    <row r="13" spans="1:13" x14ac:dyDescent="0.2">
      <c r="L13" s="11" t="s">
        <v>13</v>
      </c>
      <c r="M13" s="14">
        <v>185683</v>
      </c>
    </row>
    <row r="15" spans="1:13" x14ac:dyDescent="0.2">
      <c r="L15" s="10" t="s">
        <v>1</v>
      </c>
      <c r="M15" s="12" t="s">
        <v>19</v>
      </c>
    </row>
    <row r="16" spans="1:13" x14ac:dyDescent="0.2">
      <c r="L16" s="12" t="s">
        <v>5</v>
      </c>
      <c r="M16" s="8">
        <v>42372</v>
      </c>
    </row>
    <row r="17" spans="12:13" x14ac:dyDescent="0.2">
      <c r="L17" s="12" t="s">
        <v>8</v>
      </c>
      <c r="M17" s="8">
        <v>63519</v>
      </c>
    </row>
    <row r="18" spans="12:13" x14ac:dyDescent="0.2">
      <c r="L18" s="12" t="s">
        <v>9</v>
      </c>
      <c r="M18" s="8">
        <v>333642</v>
      </c>
    </row>
    <row r="20" spans="12:13" x14ac:dyDescent="0.2">
      <c r="L20" s="10" t="s">
        <v>2</v>
      </c>
      <c r="M20" s="12" t="s">
        <v>19</v>
      </c>
    </row>
    <row r="21" spans="12:13" x14ac:dyDescent="0.2">
      <c r="L21" s="13" t="s">
        <v>6</v>
      </c>
      <c r="M21" s="15">
        <v>19707</v>
      </c>
    </row>
    <row r="22" spans="12:13" x14ac:dyDescent="0.2">
      <c r="L22" s="13" t="s">
        <v>25</v>
      </c>
      <c r="M22" s="15">
        <v>20098</v>
      </c>
    </row>
    <row r="23" spans="12:13" x14ac:dyDescent="0.2">
      <c r="L23" s="13" t="s">
        <v>12</v>
      </c>
      <c r="M23" s="15">
        <v>30353</v>
      </c>
    </row>
    <row r="24" spans="12:13" x14ac:dyDescent="0.2">
      <c r="L24" s="13" t="s">
        <v>11</v>
      </c>
      <c r="M24" s="15">
        <v>33202</v>
      </c>
    </row>
    <row r="25" spans="12:13" x14ac:dyDescent="0.2">
      <c r="L25" s="13" t="s">
        <v>15</v>
      </c>
      <c r="M25" s="15">
        <v>37373</v>
      </c>
    </row>
    <row r="26" spans="12:13" x14ac:dyDescent="0.2">
      <c r="L26" s="13" t="s">
        <v>14</v>
      </c>
      <c r="M26" s="15">
        <v>148310</v>
      </c>
    </row>
    <row r="27" spans="12:13" x14ac:dyDescent="0.2">
      <c r="L27" s="13" t="s">
        <v>7</v>
      </c>
      <c r="M27" s="15">
        <v>150490</v>
      </c>
    </row>
    <row r="29" spans="12:13" x14ac:dyDescent="0.2">
      <c r="L29" s="12" t="s">
        <v>21</v>
      </c>
      <c r="M29" s="12" t="s">
        <v>22</v>
      </c>
    </row>
    <row r="30" spans="12:13" x14ac:dyDescent="0.2">
      <c r="L30" s="8">
        <v>439533</v>
      </c>
      <c r="M30" s="8">
        <v>132855</v>
      </c>
    </row>
    <row r="32" spans="12:13" x14ac:dyDescent="0.2">
      <c r="L32" s="12" t="s">
        <v>21</v>
      </c>
      <c r="M32" s="12" t="s">
        <v>22</v>
      </c>
    </row>
    <row r="33" spans="12:13" x14ac:dyDescent="0.2">
      <c r="L33" s="8">
        <v>439533</v>
      </c>
      <c r="M33" s="8">
        <v>132855</v>
      </c>
    </row>
  </sheetData>
  <mergeCells count="1">
    <mergeCell ref="A7:M9"/>
  </mergeCells>
  <pageMargins left="0.7" right="0.7" top="0.75" bottom="0.75" header="0.3" footer="0.3"/>
  <pageSetup paperSize="9" orientation="portrait" horizontalDpi="0" verticalDpi="0" r:id="rId8"/>
  <drawing r:id="rId9"/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ventas</vt:lpstr>
      <vt:lpstr>td ventas</vt:lpstr>
      <vt:lpstr>informes ventas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Ventas</dc:title>
  <dc:creator>Javier Gomez</dc:creator>
  <cp:keywords>datdata.com.mx</cp:keywords>
  <cp:lastModifiedBy>Braian</cp:lastModifiedBy>
  <dcterms:created xsi:type="dcterms:W3CDTF">2019-07-13T22:11:28Z</dcterms:created>
  <dcterms:modified xsi:type="dcterms:W3CDTF">2023-02-03T23:58:33Z</dcterms:modified>
</cp:coreProperties>
</file>